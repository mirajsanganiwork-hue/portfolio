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stuconestogacon-my.sharepoint.com/personal/msangani7962_conestogac_on_ca/Documents/College/Term 6/Entrepreneurship/"/>
    </mc:Choice>
  </mc:AlternateContent>
  <xr:revisionPtr revIDLastSave="333" documentId="13_ncr:1_{8295442F-039D-4595-B122-670F2F0F300B}" xr6:coauthVersionLast="47" xr6:coauthVersionMax="47" xr10:uidLastSave="{740DA91B-A712-4A6E-80F0-FE28829029C4}"/>
  <bookViews>
    <workbookView xWindow="-110" yWindow="-110" windowWidth="19420" windowHeight="12220" tabRatio="873" firstSheet="2" activeTab="3" xr2:uid="{BEF198AB-9D7E-4BBC-9BA8-B9AB69E08622}"/>
  </bookViews>
  <sheets>
    <sheet name="Cover" sheetId="1" r:id="rId1"/>
    <sheet name="Family Budget" sheetId="28" r:id="rId2"/>
    <sheet name="Networth Stmt" sheetId="29" r:id="rId3"/>
    <sheet name="CFF" sheetId="2" r:id="rId4"/>
    <sheet name="IS" sheetId="12" r:id="rId5"/>
    <sheet name="BS" sheetId="13" r:id="rId6"/>
    <sheet name="Startup" sheetId="14" r:id="rId7"/>
    <sheet name="Sales" sheetId="15" r:id="rId8"/>
    <sheet name="Marketing" sheetId="22" r:id="rId9"/>
    <sheet name="Assets" sheetId="16" r:id="rId10"/>
    <sheet name="HR Exp" sheetId="17" r:id="rId11"/>
    <sheet name="Financing" sheetId="18" r:id="rId12"/>
    <sheet name="Other Exp" sheetId="19" r:id="rId13"/>
    <sheet name="NAICS%" sheetId="20" r:id="rId14"/>
    <sheet name="NAICS$" sheetId="21" r:id="rId15"/>
  </sheets>
  <definedNames>
    <definedName name="_xlnm.Print_Area" localSheetId="9">Assets!$A$1:$F$14</definedName>
    <definedName name="_xlnm.Print_Area" localSheetId="5">BS!$B$1:$D$36</definedName>
    <definedName name="_xlnm.Print_Area" localSheetId="3">CFF!$B$1:$O$49</definedName>
    <definedName name="_xlnm.Print_Area" localSheetId="0">Cover!$A$1:$B$27</definedName>
    <definedName name="_xlnm.Print_Area" localSheetId="1">'Family Budget'!$A$1:$H$37</definedName>
    <definedName name="_xlnm.Print_Area" localSheetId="11">Financing!$A$1:$N$40</definedName>
    <definedName name="_xlnm.Print_Area" localSheetId="10">'HR Exp'!$A$1:$N$26</definedName>
    <definedName name="_xlnm.Print_Area" localSheetId="4">IS!$B$1:$F$35</definedName>
    <definedName name="_xlnm.Print_Area" localSheetId="8">Marketing!$A$1:$N$46</definedName>
    <definedName name="_xlnm.Print_Area" localSheetId="14">'NAICS$'!$A$1:$G$64</definedName>
    <definedName name="_xlnm.Print_Area" localSheetId="13">'NAICS%'!$A$1:$G$63</definedName>
    <definedName name="_xlnm.Print_Area" localSheetId="2">'Networth Stmt'!$A$1:$H$51</definedName>
    <definedName name="_xlnm.Print_Area" localSheetId="12">'Other Exp'!$A$1:$N$21</definedName>
    <definedName name="_xlnm.Print_Area" localSheetId="7">Sales!$A$1:$N$54</definedName>
    <definedName name="_xlnm.Print_Area" localSheetId="6">Startup!$A$1:$F$39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 i="2" l="1"/>
  <c r="B41" i="14"/>
  <c r="B51" i="14"/>
  <c r="B50" i="14"/>
  <c r="B49" i="14"/>
  <c r="B48" i="14"/>
  <c r="B47" i="14"/>
  <c r="B46" i="14"/>
  <c r="B45" i="14"/>
  <c r="C22" i="14"/>
  <c r="E31" i="12"/>
  <c r="C75" i="2"/>
  <c r="C28" i="2"/>
  <c r="F27" i="12"/>
  <c r="F25" i="12"/>
  <c r="F24" i="12"/>
  <c r="F23" i="12"/>
  <c r="F22" i="12"/>
  <c r="F21" i="12"/>
  <c r="F18" i="12"/>
  <c r="F16" i="12"/>
  <c r="F15" i="12"/>
  <c r="F14" i="12"/>
  <c r="F13" i="12"/>
  <c r="F10" i="12"/>
  <c r="F9" i="12"/>
  <c r="F8" i="12"/>
  <c r="F32" i="12"/>
  <c r="E32" i="12"/>
  <c r="E27" i="12"/>
  <c r="C27" i="12"/>
  <c r="E30" i="12"/>
  <c r="E29" i="12"/>
  <c r="E28" i="12"/>
  <c r="E25" i="12"/>
  <c r="E24" i="12"/>
  <c r="E23" i="12"/>
  <c r="E22" i="12"/>
  <c r="G23" i="12"/>
  <c r="G24" i="12"/>
  <c r="G25" i="12"/>
  <c r="G26" i="12"/>
  <c r="G27" i="12"/>
  <c r="E21" i="12"/>
  <c r="C21" i="12"/>
  <c r="E15" i="12"/>
  <c r="E14" i="12"/>
  <c r="E13" i="12"/>
  <c r="E10" i="12"/>
  <c r="E9" i="12"/>
  <c r="E8" i="12"/>
  <c r="E16" i="12"/>
  <c r="E33" i="13"/>
  <c r="E31" i="13"/>
  <c r="D31" i="13"/>
  <c r="E25" i="13"/>
  <c r="E23" i="13"/>
  <c r="C14" i="16"/>
  <c r="E14" i="13"/>
  <c r="E13" i="13"/>
  <c r="C13" i="16"/>
  <c r="B14" i="16"/>
  <c r="E15" i="13"/>
  <c r="E8" i="13"/>
  <c r="D8" i="13"/>
  <c r="D62" i="2"/>
  <c r="E62" i="2"/>
  <c r="F62" i="2"/>
  <c r="G62" i="2"/>
  <c r="H62" i="2"/>
  <c r="I62" i="2"/>
  <c r="I92" i="2" s="1"/>
  <c r="J62" i="2"/>
  <c r="J92" i="2" s="1"/>
  <c r="K62" i="2"/>
  <c r="K92" i="2" s="1"/>
  <c r="L62" i="2"/>
  <c r="L92" i="2" s="1"/>
  <c r="M62" i="2"/>
  <c r="M92" i="2" s="1"/>
  <c r="N62" i="2"/>
  <c r="N92" i="2" s="1"/>
  <c r="G59" i="2"/>
  <c r="D92" i="2"/>
  <c r="E92" i="2"/>
  <c r="F92" i="2"/>
  <c r="H92" i="2"/>
  <c r="D83" i="2"/>
  <c r="E83" i="2"/>
  <c r="F83" i="2"/>
  <c r="G83" i="2"/>
  <c r="H83" i="2"/>
  <c r="I83" i="2"/>
  <c r="I86" i="2" s="1"/>
  <c r="J83" i="2"/>
  <c r="K83" i="2"/>
  <c r="L83" i="2"/>
  <c r="L86" i="2" s="1"/>
  <c r="M83" i="2"/>
  <c r="M86" i="2" s="1"/>
  <c r="N83" i="2"/>
  <c r="N86" i="2" s="1"/>
  <c r="D84" i="2"/>
  <c r="D86" i="2" s="1"/>
  <c r="E84" i="2"/>
  <c r="F84" i="2"/>
  <c r="G84" i="2"/>
  <c r="H84" i="2"/>
  <c r="I84" i="2"/>
  <c r="J84" i="2"/>
  <c r="K84" i="2"/>
  <c r="L84" i="2"/>
  <c r="M84" i="2"/>
  <c r="N84" i="2"/>
  <c r="C84" i="2"/>
  <c r="C83" i="2"/>
  <c r="D81" i="2"/>
  <c r="E81" i="2"/>
  <c r="F81" i="2"/>
  <c r="G81" i="2"/>
  <c r="H81" i="2"/>
  <c r="I81" i="2"/>
  <c r="J81" i="2"/>
  <c r="K81" i="2"/>
  <c r="L81" i="2"/>
  <c r="M81" i="2"/>
  <c r="N81" i="2"/>
  <c r="C81" i="2"/>
  <c r="D34" i="2"/>
  <c r="E34" i="2"/>
  <c r="F34" i="2"/>
  <c r="G34" i="2"/>
  <c r="H34" i="2"/>
  <c r="I34" i="2"/>
  <c r="J34" i="2"/>
  <c r="K34" i="2"/>
  <c r="L34" i="2"/>
  <c r="M34" i="2"/>
  <c r="N34" i="2"/>
  <c r="C34" i="2"/>
  <c r="D80" i="2"/>
  <c r="E80" i="2"/>
  <c r="F80" i="2"/>
  <c r="G80" i="2"/>
  <c r="H80" i="2"/>
  <c r="I80" i="2"/>
  <c r="J80" i="2"/>
  <c r="K80" i="2"/>
  <c r="L80" i="2"/>
  <c r="M80" i="2"/>
  <c r="N80" i="2"/>
  <c r="C80" i="2"/>
  <c r="D79" i="2"/>
  <c r="E79" i="2"/>
  <c r="F79" i="2"/>
  <c r="G79" i="2"/>
  <c r="H79" i="2"/>
  <c r="I79" i="2"/>
  <c r="J79" i="2"/>
  <c r="K79" i="2"/>
  <c r="L79" i="2"/>
  <c r="M79" i="2"/>
  <c r="N79" i="2"/>
  <c r="C79" i="2"/>
  <c r="D78" i="2"/>
  <c r="E78" i="2"/>
  <c r="F78" i="2"/>
  <c r="O78" i="2" s="1"/>
  <c r="E26" i="12" s="1"/>
  <c r="F26" i="12" s="1"/>
  <c r="G78" i="2"/>
  <c r="H78" i="2"/>
  <c r="I78" i="2"/>
  <c r="J78" i="2"/>
  <c r="K78" i="2"/>
  <c r="L78" i="2"/>
  <c r="M78" i="2"/>
  <c r="N78" i="2"/>
  <c r="C78" i="2"/>
  <c r="C86" i="2"/>
  <c r="C77" i="2"/>
  <c r="O77" i="2" s="1"/>
  <c r="D76" i="2"/>
  <c r="E76" i="2"/>
  <c r="F76" i="2"/>
  <c r="G76" i="2"/>
  <c r="H76" i="2"/>
  <c r="I76" i="2"/>
  <c r="J76" i="2"/>
  <c r="K76" i="2"/>
  <c r="L76" i="2"/>
  <c r="M76" i="2"/>
  <c r="N76" i="2"/>
  <c r="C76" i="2"/>
  <c r="D75" i="2"/>
  <c r="E75" i="2"/>
  <c r="F75" i="2"/>
  <c r="G75" i="2"/>
  <c r="H75" i="2"/>
  <c r="I75" i="2"/>
  <c r="J75" i="2"/>
  <c r="K75" i="2"/>
  <c r="L75" i="2"/>
  <c r="M75" i="2"/>
  <c r="N75" i="2"/>
  <c r="C11" i="19"/>
  <c r="D11" i="19"/>
  <c r="E11" i="19"/>
  <c r="F11" i="19"/>
  <c r="G11" i="19"/>
  <c r="H11" i="19"/>
  <c r="I11" i="19"/>
  <c r="J11" i="19"/>
  <c r="K11" i="19"/>
  <c r="L11" i="19"/>
  <c r="M11" i="19"/>
  <c r="B11" i="19"/>
  <c r="D74" i="2"/>
  <c r="E74" i="2"/>
  <c r="F74" i="2"/>
  <c r="G74" i="2"/>
  <c r="H74" i="2"/>
  <c r="I74" i="2"/>
  <c r="J74" i="2"/>
  <c r="K74" i="2"/>
  <c r="L74" i="2"/>
  <c r="M74" i="2"/>
  <c r="N74" i="2"/>
  <c r="C74" i="2"/>
  <c r="D73" i="2"/>
  <c r="E73" i="2"/>
  <c r="F73" i="2"/>
  <c r="G73" i="2"/>
  <c r="H73" i="2"/>
  <c r="I73" i="2"/>
  <c r="J73" i="2"/>
  <c r="K73" i="2"/>
  <c r="L73" i="2"/>
  <c r="M73" i="2"/>
  <c r="N73" i="2"/>
  <c r="C73" i="2"/>
  <c r="E86" i="2"/>
  <c r="F82" i="2"/>
  <c r="C95" i="2"/>
  <c r="D95" i="2"/>
  <c r="E95" i="2"/>
  <c r="F95" i="2"/>
  <c r="G95" i="2"/>
  <c r="H95" i="2"/>
  <c r="I95" i="2"/>
  <c r="J95" i="2"/>
  <c r="K95" i="2"/>
  <c r="L95" i="2"/>
  <c r="M95" i="2"/>
  <c r="N95" i="2"/>
  <c r="O31" i="2"/>
  <c r="D69" i="2"/>
  <c r="E69" i="2"/>
  <c r="F69" i="2"/>
  <c r="G69" i="2"/>
  <c r="H69" i="2"/>
  <c r="I69" i="2"/>
  <c r="J69" i="2"/>
  <c r="K69" i="2"/>
  <c r="L69" i="2"/>
  <c r="M69" i="2"/>
  <c r="N69" i="2"/>
  <c r="C69" i="2"/>
  <c r="D68" i="2"/>
  <c r="E68" i="2"/>
  <c r="F68" i="2"/>
  <c r="G68" i="2"/>
  <c r="H68" i="2"/>
  <c r="I68" i="2"/>
  <c r="J68" i="2"/>
  <c r="K68" i="2"/>
  <c r="L68" i="2"/>
  <c r="M68" i="2"/>
  <c r="N68" i="2"/>
  <c r="C68" i="2"/>
  <c r="D59" i="2"/>
  <c r="E59" i="2"/>
  <c r="F59" i="2"/>
  <c r="H59" i="2"/>
  <c r="I59" i="2"/>
  <c r="J59" i="2"/>
  <c r="K59" i="2"/>
  <c r="L59" i="2"/>
  <c r="M59" i="2"/>
  <c r="N59" i="2"/>
  <c r="O59" i="2"/>
  <c r="C59" i="2"/>
  <c r="D58" i="2"/>
  <c r="E58" i="2"/>
  <c r="F58" i="2"/>
  <c r="G58" i="2"/>
  <c r="H58" i="2"/>
  <c r="I58" i="2"/>
  <c r="J58" i="2"/>
  <c r="K58" i="2"/>
  <c r="L58" i="2"/>
  <c r="M58" i="2"/>
  <c r="N58" i="2"/>
  <c r="O58" i="2"/>
  <c r="C58" i="2"/>
  <c r="D57" i="2"/>
  <c r="E57" i="2"/>
  <c r="F57" i="2"/>
  <c r="G57" i="2"/>
  <c r="H57" i="2"/>
  <c r="I57" i="2"/>
  <c r="J57" i="2"/>
  <c r="K57" i="2"/>
  <c r="L57" i="2"/>
  <c r="M57" i="2"/>
  <c r="N57" i="2"/>
  <c r="O57" i="2"/>
  <c r="C57" i="2"/>
  <c r="D56" i="2"/>
  <c r="E56" i="2"/>
  <c r="F56" i="2"/>
  <c r="G56" i="2"/>
  <c r="H56" i="2"/>
  <c r="I56" i="2"/>
  <c r="J56" i="2"/>
  <c r="K56" i="2"/>
  <c r="L56" i="2"/>
  <c r="M56" i="2"/>
  <c r="N56" i="2"/>
  <c r="O56" i="2"/>
  <c r="C56" i="2"/>
  <c r="D55" i="2"/>
  <c r="E55" i="2"/>
  <c r="F55" i="2"/>
  <c r="G55" i="2"/>
  <c r="H55" i="2"/>
  <c r="I55" i="2"/>
  <c r="J55" i="2"/>
  <c r="K55" i="2"/>
  <c r="L55" i="2"/>
  <c r="M55" i="2"/>
  <c r="N55" i="2"/>
  <c r="O55" i="2"/>
  <c r="C55" i="2"/>
  <c r="O54" i="2"/>
  <c r="O53" i="2"/>
  <c r="D54" i="2"/>
  <c r="E54" i="2"/>
  <c r="F54" i="2"/>
  <c r="G54" i="2"/>
  <c r="H54" i="2"/>
  <c r="I54" i="2"/>
  <c r="J54" i="2"/>
  <c r="K54" i="2"/>
  <c r="L54" i="2"/>
  <c r="M54" i="2"/>
  <c r="N54" i="2"/>
  <c r="C54" i="2"/>
  <c r="D53" i="2"/>
  <c r="E53" i="2"/>
  <c r="F53" i="2"/>
  <c r="G53" i="2"/>
  <c r="H53" i="2"/>
  <c r="I53" i="2"/>
  <c r="J53" i="2"/>
  <c r="K53" i="2"/>
  <c r="L53" i="2"/>
  <c r="M53" i="2"/>
  <c r="N53" i="2"/>
  <c r="C53" i="2"/>
  <c r="E34" i="17"/>
  <c r="M33" i="17"/>
  <c r="M34" i="17" s="1"/>
  <c r="L33" i="17"/>
  <c r="L34" i="17" s="1"/>
  <c r="K33" i="17"/>
  <c r="K34" i="17" s="1"/>
  <c r="J33" i="17"/>
  <c r="J34" i="17" s="1"/>
  <c r="I33" i="17"/>
  <c r="I34" i="17" s="1"/>
  <c r="H33" i="17"/>
  <c r="G33" i="17"/>
  <c r="F33" i="17"/>
  <c r="E33" i="17"/>
  <c r="D33" i="17"/>
  <c r="D34" i="17" s="1"/>
  <c r="C33" i="17"/>
  <c r="C34" i="17" s="1"/>
  <c r="B33" i="17"/>
  <c r="B34" i="17" s="1"/>
  <c r="N32" i="17"/>
  <c r="N33" i="17" s="1"/>
  <c r="N34" i="17" s="1"/>
  <c r="M30" i="17"/>
  <c r="L30" i="17"/>
  <c r="K30" i="17"/>
  <c r="K31" i="17" s="1"/>
  <c r="J30" i="17"/>
  <c r="J31" i="17" s="1"/>
  <c r="I30" i="17"/>
  <c r="I31" i="17" s="1"/>
  <c r="H30" i="17"/>
  <c r="H31" i="17" s="1"/>
  <c r="G30" i="17"/>
  <c r="G31" i="17" s="1"/>
  <c r="F30" i="17"/>
  <c r="F31" i="17" s="1"/>
  <c r="E30" i="17"/>
  <c r="E31" i="17" s="1"/>
  <c r="E35" i="17" s="1" a="1"/>
  <c r="E35" i="17" s="1"/>
  <c r="D30" i="17"/>
  <c r="D31" i="17" s="1"/>
  <c r="C30" i="17"/>
  <c r="C31" i="17" s="1"/>
  <c r="B30" i="17"/>
  <c r="N29" i="17"/>
  <c r="N30" i="17" s="1"/>
  <c r="O72" i="2"/>
  <c r="O71" i="2"/>
  <c r="O70" i="2"/>
  <c r="C67" i="2"/>
  <c r="C82" i="2" s="1"/>
  <c r="O61" i="2"/>
  <c r="C60" i="2"/>
  <c r="O60" i="2" s="1"/>
  <c r="G92" i="2"/>
  <c r="B19" i="22"/>
  <c r="C19" i="22"/>
  <c r="C22" i="22" s="1"/>
  <c r="D19" i="22"/>
  <c r="E19" i="22"/>
  <c r="F19" i="22"/>
  <c r="G19" i="22"/>
  <c r="H19" i="22"/>
  <c r="H22" i="22" s="1"/>
  <c r="I19" i="22"/>
  <c r="J19" i="22"/>
  <c r="K19" i="22"/>
  <c r="L19" i="22"/>
  <c r="M19" i="22"/>
  <c r="B20" i="22"/>
  <c r="C20" i="22"/>
  <c r="D20" i="22"/>
  <c r="E20" i="22"/>
  <c r="F20" i="22"/>
  <c r="G20" i="22"/>
  <c r="H20" i="22"/>
  <c r="I20" i="22"/>
  <c r="J20" i="22"/>
  <c r="K20" i="22"/>
  <c r="L20" i="22"/>
  <c r="M20" i="22"/>
  <c r="B21" i="22"/>
  <c r="C21" i="22"/>
  <c r="D21" i="22"/>
  <c r="E21" i="22"/>
  <c r="F21" i="22"/>
  <c r="G21" i="22"/>
  <c r="H21" i="22"/>
  <c r="I21" i="22"/>
  <c r="J21" i="22"/>
  <c r="K21" i="22"/>
  <c r="L21" i="22"/>
  <c r="M21" i="22"/>
  <c r="B18" i="22"/>
  <c r="C18" i="22"/>
  <c r="D18" i="22"/>
  <c r="E18" i="22"/>
  <c r="F18" i="22"/>
  <c r="G18" i="22"/>
  <c r="H18" i="22"/>
  <c r="I18" i="22"/>
  <c r="I22" i="22" s="1"/>
  <c r="J18" i="22"/>
  <c r="J22" i="22" s="1"/>
  <c r="K18" i="22"/>
  <c r="K22" i="22" s="1"/>
  <c r="L18" i="22"/>
  <c r="M18" i="22"/>
  <c r="M22" i="22" s="1"/>
  <c r="N17" i="22"/>
  <c r="C17" i="22"/>
  <c r="D17" i="22"/>
  <c r="E17" i="22"/>
  <c r="F17" i="22"/>
  <c r="G17" i="22"/>
  <c r="H17" i="22"/>
  <c r="I17" i="22"/>
  <c r="J17" i="22"/>
  <c r="K17" i="22"/>
  <c r="L17" i="22"/>
  <c r="M17" i="22"/>
  <c r="B17" i="22"/>
  <c r="B8" i="22"/>
  <c r="E22" i="22"/>
  <c r="G22" i="22"/>
  <c r="B5" i="22"/>
  <c r="C62" i="2" l="1"/>
  <c r="C92" i="2" s="1"/>
  <c r="O62" i="2"/>
  <c r="E18" i="12"/>
  <c r="D82" i="2"/>
  <c r="D87" i="2" s="1"/>
  <c r="D93" i="2" s="1"/>
  <c r="O92" i="2"/>
  <c r="C87" i="2"/>
  <c r="C93" i="2" s="1"/>
  <c r="O85" i="2"/>
  <c r="G82" i="2"/>
  <c r="O95" i="2"/>
  <c r="H86" i="2"/>
  <c r="M82" i="2"/>
  <c r="M87" i="2" s="1"/>
  <c r="M93" i="2" s="1"/>
  <c r="O76" i="2"/>
  <c r="O79" i="2"/>
  <c r="O80" i="2"/>
  <c r="O84" i="2"/>
  <c r="F86" i="2"/>
  <c r="F87" i="2" s="1"/>
  <c r="F93" i="2" s="1"/>
  <c r="O75" i="2"/>
  <c r="J86" i="2"/>
  <c r="E82" i="2"/>
  <c r="E87" i="2" s="1"/>
  <c r="E93" i="2" s="1"/>
  <c r="O81" i="2"/>
  <c r="G86" i="2"/>
  <c r="K86" i="2"/>
  <c r="O74" i="2"/>
  <c r="I82" i="2"/>
  <c r="I87" i="2" s="1"/>
  <c r="I93" i="2" s="1"/>
  <c r="J82" i="2"/>
  <c r="K82" i="2"/>
  <c r="K87" i="2" s="1"/>
  <c r="K93" i="2" s="1"/>
  <c r="H82" i="2"/>
  <c r="H87" i="2" s="1"/>
  <c r="H93" i="2" s="1"/>
  <c r="L82" i="2"/>
  <c r="L87" i="2" s="1"/>
  <c r="L93" i="2" s="1"/>
  <c r="N82" i="2"/>
  <c r="N87" i="2" s="1"/>
  <c r="N93" i="2" s="1"/>
  <c r="O73" i="2"/>
  <c r="O83" i="2"/>
  <c r="O69" i="2"/>
  <c r="O68" i="2"/>
  <c r="C35" i="17" a="1"/>
  <c r="C35" i="17" s="1"/>
  <c r="N31" i="17"/>
  <c r="N35" i="17" s="1" a="1"/>
  <c r="N35" i="17" s="1"/>
  <c r="D35" i="17" a="1"/>
  <c r="D35" i="17" s="1"/>
  <c r="I35" i="17" a="1"/>
  <c r="I35" i="17" s="1"/>
  <c r="F34" i="17"/>
  <c r="F35" i="17" s="1" a="1"/>
  <c r="F35" i="17" s="1"/>
  <c r="G34" i="17"/>
  <c r="G35" i="17" s="1" a="1"/>
  <c r="G35" i="17" s="1"/>
  <c r="K35" i="17" a="1"/>
  <c r="K35" i="17" s="1"/>
  <c r="B31" i="17"/>
  <c r="B35" i="17" s="1" a="1"/>
  <c r="B35" i="17" s="1"/>
  <c r="J35" i="17" a="1"/>
  <c r="J35" i="17" s="1"/>
  <c r="L31" i="17"/>
  <c r="L35" i="17" s="1" a="1"/>
  <c r="L35" i="17" s="1"/>
  <c r="H34" i="17"/>
  <c r="H35" i="17" s="1" a="1"/>
  <c r="H35" i="17" s="1"/>
  <c r="M31" i="17"/>
  <c r="M35" i="17" s="1" a="1"/>
  <c r="M35" i="17" s="1"/>
  <c r="O67" i="2"/>
  <c r="L22" i="22"/>
  <c r="F22" i="22"/>
  <c r="N19" i="22"/>
  <c r="D22" i="22"/>
  <c r="N18" i="22"/>
  <c r="E26" i="29"/>
  <c r="E27" i="29" s="1"/>
  <c r="D26" i="29"/>
  <c r="D27" i="29" s="1"/>
  <c r="F27" i="29" s="1"/>
  <c r="F25" i="29"/>
  <c r="F24" i="29"/>
  <c r="F23" i="29"/>
  <c r="E21" i="29"/>
  <c r="D21" i="29"/>
  <c r="F21" i="29" s="1"/>
  <c r="F20" i="29"/>
  <c r="F19" i="29"/>
  <c r="E16" i="29"/>
  <c r="D16" i="29"/>
  <c r="F16" i="29" s="1"/>
  <c r="F15" i="29"/>
  <c r="F14" i="29"/>
  <c r="F13" i="29"/>
  <c r="F12" i="29"/>
  <c r="F11" i="29"/>
  <c r="F10" i="29"/>
  <c r="E8" i="29"/>
  <c r="E17" i="29" s="1"/>
  <c r="D8" i="29"/>
  <c r="F8" i="29" s="1"/>
  <c r="F7" i="29"/>
  <c r="F6" i="29"/>
  <c r="F5" i="29"/>
  <c r="D30" i="28"/>
  <c r="C30" i="28"/>
  <c r="E30" i="28" s="1"/>
  <c r="E29" i="28"/>
  <c r="E28" i="28"/>
  <c r="E27" i="28"/>
  <c r="E26" i="28"/>
  <c r="D24" i="28"/>
  <c r="E24" i="28" s="1"/>
  <c r="C24" i="28"/>
  <c r="E23" i="28"/>
  <c r="E22" i="28"/>
  <c r="E21" i="28"/>
  <c r="E20" i="28"/>
  <c r="E19" i="28"/>
  <c r="E18" i="28"/>
  <c r="E17" i="28"/>
  <c r="E16" i="28"/>
  <c r="E15" i="28"/>
  <c r="E14" i="28"/>
  <c r="E13" i="28"/>
  <c r="E12" i="28"/>
  <c r="E11" i="28"/>
  <c r="E10" i="28"/>
  <c r="E9" i="28"/>
  <c r="D7" i="28"/>
  <c r="D31" i="28" s="1"/>
  <c r="C7" i="28"/>
  <c r="C31" i="28" s="1"/>
  <c r="E6" i="28"/>
  <c r="E5" i="28"/>
  <c r="F31" i="12" l="1"/>
  <c r="F33" i="12" s="1"/>
  <c r="E33" i="12"/>
  <c r="E35" i="12" s="1"/>
  <c r="F35" i="12" s="1"/>
  <c r="O86" i="2"/>
  <c r="J87" i="2"/>
  <c r="J93" i="2" s="1"/>
  <c r="G87" i="2"/>
  <c r="G93" i="2" s="1"/>
  <c r="O82" i="2"/>
  <c r="O87" i="2"/>
  <c r="E28" i="29"/>
  <c r="D17" i="29"/>
  <c r="F26" i="29"/>
  <c r="E31" i="28"/>
  <c r="E7" i="28"/>
  <c r="E30" i="13" l="1"/>
  <c r="O93" i="2"/>
  <c r="D28" i="29"/>
  <c r="F28" i="29" s="1"/>
  <c r="F17" i="29"/>
  <c r="M10" i="22"/>
  <c r="M11" i="22"/>
  <c r="M12" i="22"/>
  <c r="L10" i="22"/>
  <c r="L11" i="22"/>
  <c r="L12" i="22"/>
  <c r="K10" i="22"/>
  <c r="K11" i="22"/>
  <c r="K12" i="22"/>
  <c r="J10" i="22"/>
  <c r="J11" i="22"/>
  <c r="J12" i="22"/>
  <c r="M9" i="22"/>
  <c r="L9" i="22"/>
  <c r="K9" i="22"/>
  <c r="J9" i="22"/>
  <c r="I10" i="22"/>
  <c r="I11" i="22"/>
  <c r="I12" i="22"/>
  <c r="I9" i="22"/>
  <c r="H10" i="22"/>
  <c r="H11" i="22"/>
  <c r="H12" i="22"/>
  <c r="H9" i="22"/>
  <c r="G10" i="22"/>
  <c r="G11" i="22"/>
  <c r="G12" i="22"/>
  <c r="G9" i="22"/>
  <c r="F10" i="22"/>
  <c r="F11" i="22"/>
  <c r="F12" i="22"/>
  <c r="F9" i="22"/>
  <c r="E10" i="22"/>
  <c r="E11" i="22"/>
  <c r="E12" i="22"/>
  <c r="E9" i="22"/>
  <c r="D10" i="22"/>
  <c r="D11" i="22"/>
  <c r="D12" i="22"/>
  <c r="D9" i="22"/>
  <c r="C10" i="22"/>
  <c r="C11" i="22"/>
  <c r="C12" i="22"/>
  <c r="C9" i="22"/>
  <c r="B9" i="22"/>
  <c r="B10" i="22"/>
  <c r="B11" i="22"/>
  <c r="B12" i="22"/>
  <c r="B4" i="22"/>
  <c r="C8" i="22"/>
  <c r="D8" i="22"/>
  <c r="E8" i="22"/>
  <c r="F8" i="22"/>
  <c r="G8" i="22"/>
  <c r="H8" i="22"/>
  <c r="I8" i="22"/>
  <c r="J8" i="22"/>
  <c r="K8" i="22"/>
  <c r="L8" i="22"/>
  <c r="M8" i="22"/>
  <c r="N8" i="22"/>
  <c r="B35" i="15"/>
  <c r="B13" i="22" l="1"/>
  <c r="D25" i="13"/>
  <c r="D23" i="13"/>
  <c r="D15" i="13"/>
  <c r="D14" i="13"/>
  <c r="D13" i="13"/>
  <c r="N21" i="22" l="1"/>
  <c r="G35" i="12"/>
  <c r="G32" i="12"/>
  <c r="G33" i="12"/>
  <c r="G31" i="12"/>
  <c r="G21" i="12"/>
  <c r="G18" i="12"/>
  <c r="G16" i="12"/>
  <c r="G14" i="12"/>
  <c r="G13" i="12"/>
  <c r="G10" i="12"/>
  <c r="D10" i="12"/>
  <c r="D9" i="12"/>
  <c r="D8" i="12"/>
  <c r="C29" i="12"/>
  <c r="C22" i="12"/>
  <c r="D22" i="12" s="1"/>
  <c r="C23" i="12"/>
  <c r="D23" i="12" s="1"/>
  <c r="D21" i="12"/>
  <c r="C9" i="12"/>
  <c r="C8" i="12"/>
  <c r="D47" i="2"/>
  <c r="E47" i="2"/>
  <c r="F47" i="2"/>
  <c r="G47" i="2"/>
  <c r="H47" i="2"/>
  <c r="I47" i="2"/>
  <c r="J47" i="2"/>
  <c r="K47" i="2"/>
  <c r="L47" i="2"/>
  <c r="M47" i="2"/>
  <c r="N47" i="2"/>
  <c r="C47" i="2"/>
  <c r="O15" i="2"/>
  <c r="B21" i="19"/>
  <c r="C14" i="14"/>
  <c r="C15" i="14"/>
  <c r="C16" i="14"/>
  <c r="C13" i="14"/>
  <c r="G38" i="2"/>
  <c r="H38" i="2"/>
  <c r="I38" i="2"/>
  <c r="J38" i="2"/>
  <c r="K38" i="2"/>
  <c r="L38" i="2"/>
  <c r="M38" i="2"/>
  <c r="N38" i="2"/>
  <c r="F38" i="2"/>
  <c r="D36" i="2"/>
  <c r="E36" i="2"/>
  <c r="E39" i="2" s="1"/>
  <c r="F36" i="2"/>
  <c r="G36" i="2"/>
  <c r="H36" i="2"/>
  <c r="I36" i="2"/>
  <c r="J36" i="2"/>
  <c r="K36" i="2"/>
  <c r="L36" i="2"/>
  <c r="L39" i="2" s="1"/>
  <c r="M36" i="2"/>
  <c r="M39" i="2" s="1"/>
  <c r="N36" i="2"/>
  <c r="D37" i="2"/>
  <c r="E37" i="2"/>
  <c r="F37" i="2"/>
  <c r="G37" i="2"/>
  <c r="H37" i="2"/>
  <c r="I37" i="2"/>
  <c r="J37" i="2"/>
  <c r="K37" i="2"/>
  <c r="L37" i="2"/>
  <c r="M37" i="2"/>
  <c r="N37" i="2"/>
  <c r="C37" i="2"/>
  <c r="C36" i="2"/>
  <c r="D26" i="2"/>
  <c r="E26" i="2"/>
  <c r="F26" i="2"/>
  <c r="G26" i="2"/>
  <c r="H26" i="2"/>
  <c r="I26" i="2"/>
  <c r="J26" i="2"/>
  <c r="K26" i="2"/>
  <c r="L26" i="2"/>
  <c r="M26" i="2"/>
  <c r="N26" i="2"/>
  <c r="D27" i="2"/>
  <c r="E27" i="2"/>
  <c r="F27" i="2"/>
  <c r="G27" i="2"/>
  <c r="H27" i="2"/>
  <c r="I27" i="2"/>
  <c r="J27" i="2"/>
  <c r="K27" i="2"/>
  <c r="L27" i="2"/>
  <c r="M27" i="2"/>
  <c r="N27" i="2"/>
  <c r="D29" i="2"/>
  <c r="E29" i="2"/>
  <c r="F29" i="2"/>
  <c r="G29" i="2"/>
  <c r="H29" i="2"/>
  <c r="I29" i="2"/>
  <c r="J29" i="2"/>
  <c r="K29" i="2"/>
  <c r="L29" i="2"/>
  <c r="M29" i="2"/>
  <c r="N29" i="2"/>
  <c r="D32" i="2"/>
  <c r="E32" i="2"/>
  <c r="F32" i="2"/>
  <c r="G32" i="2"/>
  <c r="H32" i="2"/>
  <c r="I32" i="2"/>
  <c r="J32" i="2"/>
  <c r="K32" i="2"/>
  <c r="L32" i="2"/>
  <c r="M32" i="2"/>
  <c r="N32" i="2"/>
  <c r="D33" i="2"/>
  <c r="E33" i="2"/>
  <c r="F33" i="2"/>
  <c r="G33" i="2"/>
  <c r="H33" i="2"/>
  <c r="I33" i="2"/>
  <c r="J33" i="2"/>
  <c r="K33" i="2"/>
  <c r="L33" i="2"/>
  <c r="M33" i="2"/>
  <c r="N33" i="2"/>
  <c r="C29" i="2"/>
  <c r="C32" i="2"/>
  <c r="C33" i="2"/>
  <c r="C27" i="2"/>
  <c r="C26" i="2"/>
  <c r="N6" i="19"/>
  <c r="N7" i="19"/>
  <c r="N8" i="19"/>
  <c r="N9" i="19"/>
  <c r="N10" i="19"/>
  <c r="O23" i="2"/>
  <c r="C14" i="12" s="1"/>
  <c r="D14" i="12" s="1"/>
  <c r="O24" i="2"/>
  <c r="C15" i="12" s="1"/>
  <c r="D15" i="12" s="1"/>
  <c r="O25" i="2"/>
  <c r="B38" i="22"/>
  <c r="B31" i="22"/>
  <c r="C13" i="22"/>
  <c r="D28" i="2" s="1"/>
  <c r="D13" i="22"/>
  <c r="E28" i="2" s="1"/>
  <c r="E13" i="22"/>
  <c r="F28" i="2" s="1"/>
  <c r="F13" i="22"/>
  <c r="G28" i="2" s="1"/>
  <c r="G13" i="22"/>
  <c r="H28" i="2" s="1"/>
  <c r="H13" i="22"/>
  <c r="I28" i="2" s="1"/>
  <c r="I13" i="22"/>
  <c r="J28" i="2" s="1"/>
  <c r="J13" i="22"/>
  <c r="K28" i="2" s="1"/>
  <c r="K13" i="22"/>
  <c r="L28" i="2" s="1"/>
  <c r="L13" i="22"/>
  <c r="M28" i="2" s="1"/>
  <c r="M13" i="22"/>
  <c r="N28" i="2" s="1"/>
  <c r="N9" i="22"/>
  <c r="N10" i="22"/>
  <c r="N11" i="22"/>
  <c r="N12" i="22"/>
  <c r="N39" i="2" l="1"/>
  <c r="H39" i="2"/>
  <c r="N20" i="22"/>
  <c r="B22" i="22"/>
  <c r="N22" i="22" s="1"/>
  <c r="K39" i="2"/>
  <c r="J39" i="2"/>
  <c r="O47" i="2"/>
  <c r="C39" i="2"/>
  <c r="F39" i="2"/>
  <c r="G39" i="2"/>
  <c r="I39" i="2"/>
  <c r="D39" i="2"/>
  <c r="N11" i="19"/>
  <c r="B19" i="19" s="1"/>
  <c r="O33" i="2"/>
  <c r="C32" i="12" s="1"/>
  <c r="D32" i="12" s="1"/>
  <c r="O30" i="2"/>
  <c r="C26" i="12" s="1"/>
  <c r="D26" i="12" s="1"/>
  <c r="O38" i="2"/>
  <c r="D33" i="13" s="1"/>
  <c r="O36" i="2"/>
  <c r="O32" i="2"/>
  <c r="C30" i="12" s="1"/>
  <c r="O27" i="2"/>
  <c r="C24" i="12" s="1"/>
  <c r="D24" i="12" s="1"/>
  <c r="O37" i="2"/>
  <c r="O29" i="2"/>
  <c r="C25" i="12" s="1"/>
  <c r="D25" i="12" s="1"/>
  <c r="O34" i="2"/>
  <c r="C28" i="12" s="1"/>
  <c r="N13" i="22"/>
  <c r="B40" i="22" s="1"/>
  <c r="O28" i="2" s="1"/>
  <c r="B17" i="19"/>
  <c r="I35" i="18"/>
  <c r="I34" i="18"/>
  <c r="J34" i="18"/>
  <c r="K34" i="18"/>
  <c r="L34" i="18"/>
  <c r="M34" i="18"/>
  <c r="I33" i="18"/>
  <c r="J33" i="18"/>
  <c r="K33" i="18"/>
  <c r="L33" i="18"/>
  <c r="M33" i="18"/>
  <c r="I32" i="18"/>
  <c r="J32" i="18"/>
  <c r="K32" i="18"/>
  <c r="L32" i="18"/>
  <c r="M32" i="18"/>
  <c r="J31" i="18"/>
  <c r="J35" i="18" s="1"/>
  <c r="K31" i="18" s="1"/>
  <c r="K35" i="18" s="1"/>
  <c r="L31" i="18" s="1"/>
  <c r="L35" i="18" s="1"/>
  <c r="M31" i="18" s="1"/>
  <c r="M35" i="18" s="1"/>
  <c r="C23" i="18"/>
  <c r="H34" i="18"/>
  <c r="G34" i="18"/>
  <c r="H33" i="18"/>
  <c r="G33" i="18"/>
  <c r="L26" i="18"/>
  <c r="K26" i="18"/>
  <c r="J26" i="18"/>
  <c r="I26" i="18"/>
  <c r="K25" i="18"/>
  <c r="J25" i="18"/>
  <c r="I25" i="18"/>
  <c r="H25" i="18"/>
  <c r="B15" i="18"/>
  <c r="B14" i="18"/>
  <c r="F34" i="18" s="1"/>
  <c r="B7" i="18"/>
  <c r="L25" i="17"/>
  <c r="C24" i="17"/>
  <c r="C25" i="17" s="1"/>
  <c r="D24" i="17"/>
  <c r="D25" i="17" s="1"/>
  <c r="E24" i="17"/>
  <c r="E25" i="17" s="1"/>
  <c r="F24" i="17"/>
  <c r="F25" i="17" s="1"/>
  <c r="G24" i="17"/>
  <c r="G25" i="17" s="1"/>
  <c r="H24" i="17"/>
  <c r="H25" i="17" s="1"/>
  <c r="I24" i="17"/>
  <c r="I25" i="17" s="1"/>
  <c r="J24" i="17"/>
  <c r="J25" i="17" s="1"/>
  <c r="K24" i="17"/>
  <c r="K25" i="17" s="1"/>
  <c r="L24" i="17"/>
  <c r="M24" i="17"/>
  <c r="M25" i="17" s="1"/>
  <c r="N24" i="17"/>
  <c r="N25" i="17" s="1"/>
  <c r="B24" i="17"/>
  <c r="B25" i="17" s="1"/>
  <c r="N20" i="17"/>
  <c r="N21" i="17" s="1"/>
  <c r="N22" i="17" s="1"/>
  <c r="N23" i="17"/>
  <c r="K22" i="17"/>
  <c r="C21" i="17"/>
  <c r="D21" i="17"/>
  <c r="E21" i="2" s="1"/>
  <c r="E21" i="17"/>
  <c r="F21" i="2" s="1"/>
  <c r="F21" i="17"/>
  <c r="G21" i="2" s="1"/>
  <c r="G21" i="17"/>
  <c r="H21" i="2" s="1"/>
  <c r="H21" i="17"/>
  <c r="I21" i="2" s="1"/>
  <c r="I21" i="17"/>
  <c r="J21" i="2" s="1"/>
  <c r="J21" i="17"/>
  <c r="K21" i="2" s="1"/>
  <c r="K21" i="17"/>
  <c r="L21" i="2" s="1"/>
  <c r="L21" i="17"/>
  <c r="M21" i="2" s="1"/>
  <c r="M21" i="17"/>
  <c r="B21" i="17"/>
  <c r="B13" i="16"/>
  <c r="B8" i="16"/>
  <c r="D8" i="16"/>
  <c r="E8" i="16"/>
  <c r="C20" i="2"/>
  <c r="C7" i="2"/>
  <c r="D7" i="2"/>
  <c r="E7" i="2"/>
  <c r="F7" i="2"/>
  <c r="G7" i="2"/>
  <c r="H7" i="2"/>
  <c r="I7" i="2"/>
  <c r="J7" i="2"/>
  <c r="K7" i="2"/>
  <c r="L7" i="2"/>
  <c r="M7" i="2"/>
  <c r="N7" i="2"/>
  <c r="O7" i="2"/>
  <c r="C8" i="2"/>
  <c r="D8" i="2"/>
  <c r="E8" i="2"/>
  <c r="F8" i="2"/>
  <c r="G8" i="2"/>
  <c r="H8" i="2"/>
  <c r="I8" i="2"/>
  <c r="J8" i="2"/>
  <c r="K8" i="2"/>
  <c r="L8" i="2"/>
  <c r="M8" i="2"/>
  <c r="N8" i="2"/>
  <c r="O8" i="2"/>
  <c r="C9" i="2"/>
  <c r="D9" i="2"/>
  <c r="E9" i="2"/>
  <c r="F9" i="2"/>
  <c r="G9" i="2"/>
  <c r="H9" i="2"/>
  <c r="I9" i="2"/>
  <c r="J9" i="2"/>
  <c r="K9" i="2"/>
  <c r="L9" i="2"/>
  <c r="M9" i="2"/>
  <c r="N9" i="2"/>
  <c r="O9" i="2"/>
  <c r="C10" i="2"/>
  <c r="D10" i="2"/>
  <c r="E10" i="2"/>
  <c r="F10" i="2"/>
  <c r="G10" i="2"/>
  <c r="H10" i="2"/>
  <c r="I10" i="2"/>
  <c r="J10" i="2"/>
  <c r="K10" i="2"/>
  <c r="L10" i="2"/>
  <c r="M10" i="2"/>
  <c r="N10" i="2"/>
  <c r="O10" i="2"/>
  <c r="C11" i="2"/>
  <c r="D11" i="2"/>
  <c r="E11" i="2"/>
  <c r="F11" i="2"/>
  <c r="G11" i="2"/>
  <c r="H11" i="2"/>
  <c r="I11" i="2"/>
  <c r="J11" i="2"/>
  <c r="K11" i="2"/>
  <c r="L11" i="2"/>
  <c r="M11" i="2"/>
  <c r="N11" i="2"/>
  <c r="O11" i="2"/>
  <c r="C12" i="2"/>
  <c r="D12" i="2"/>
  <c r="E12" i="2"/>
  <c r="F12" i="2"/>
  <c r="G12" i="2"/>
  <c r="H12" i="2"/>
  <c r="I12" i="2"/>
  <c r="J12" i="2"/>
  <c r="K12" i="2"/>
  <c r="L12" i="2"/>
  <c r="M12" i="2"/>
  <c r="N12" i="2"/>
  <c r="O12" i="2"/>
  <c r="C13" i="2"/>
  <c r="D13" i="2"/>
  <c r="D16" i="2" s="1"/>
  <c r="D44" i="2" s="1"/>
  <c r="E13" i="2"/>
  <c r="F13" i="2"/>
  <c r="F16" i="2" s="1"/>
  <c r="F44" i="2" s="1"/>
  <c r="G13" i="2"/>
  <c r="G16" i="2" s="1"/>
  <c r="G44" i="2" s="1"/>
  <c r="H13" i="2"/>
  <c r="H16" i="2" s="1"/>
  <c r="H44" i="2" s="1"/>
  <c r="I13" i="2"/>
  <c r="I16" i="2" s="1"/>
  <c r="I44" i="2" s="1"/>
  <c r="J13" i="2"/>
  <c r="J16" i="2" s="1"/>
  <c r="J44" i="2" s="1"/>
  <c r="K13" i="2"/>
  <c r="K16" i="2" s="1"/>
  <c r="K44" i="2" s="1"/>
  <c r="L13" i="2"/>
  <c r="L16" i="2" s="1"/>
  <c r="L44" i="2" s="1"/>
  <c r="M13" i="2"/>
  <c r="M16" i="2" s="1"/>
  <c r="M44" i="2" s="1"/>
  <c r="N13" i="2"/>
  <c r="N16" i="2" s="1"/>
  <c r="N44" i="2" s="1"/>
  <c r="O13" i="2"/>
  <c r="C14" i="2"/>
  <c r="O14" i="2" s="1"/>
  <c r="E16" i="2"/>
  <c r="E44" i="2" s="1"/>
  <c r="D31" i="12" l="1"/>
  <c r="C31" i="12"/>
  <c r="L22" i="2"/>
  <c r="L35" i="2" s="1"/>
  <c r="L40" i="2" s="1"/>
  <c r="L45" i="2" s="1"/>
  <c r="H22" i="17"/>
  <c r="I22" i="2" s="1"/>
  <c r="I35" i="2" s="1"/>
  <c r="I40" i="2" s="1"/>
  <c r="I45" i="2" s="1"/>
  <c r="G22" i="17"/>
  <c r="H22" i="2" s="1"/>
  <c r="H35" i="2" s="1"/>
  <c r="H40" i="2" s="1"/>
  <c r="H45" i="2" s="1"/>
  <c r="D21" i="2"/>
  <c r="C22" i="17"/>
  <c r="L22" i="17"/>
  <c r="M22" i="2" s="1"/>
  <c r="M35" i="2" s="1"/>
  <c r="M40" i="2" s="1"/>
  <c r="M45" i="2" s="1"/>
  <c r="I22" i="17"/>
  <c r="J22" i="2" s="1"/>
  <c r="J35" i="2" s="1"/>
  <c r="J40" i="2" s="1"/>
  <c r="J45" i="2" s="1"/>
  <c r="F22" i="17"/>
  <c r="F26" i="17" s="1" a="1"/>
  <c r="F26" i="17" s="1"/>
  <c r="E22" i="17"/>
  <c r="F22" i="2" s="1"/>
  <c r="F35" i="2" s="1"/>
  <c r="F40" i="2" s="1"/>
  <c r="F45" i="2" s="1"/>
  <c r="D22" i="17"/>
  <c r="C21" i="2"/>
  <c r="O21" i="2" s="1"/>
  <c r="B22" i="17"/>
  <c r="C22" i="2" s="1"/>
  <c r="J22" i="17"/>
  <c r="K22" i="2" s="1"/>
  <c r="K35" i="2" s="1"/>
  <c r="N21" i="2"/>
  <c r="M22" i="17"/>
  <c r="N22" i="2" s="1"/>
  <c r="N35" i="2" s="1"/>
  <c r="N40" i="2" s="1"/>
  <c r="N45" i="2" s="1"/>
  <c r="N26" i="17" a="1"/>
  <c r="N26" i="17" s="1"/>
  <c r="K26" i="17" a="1"/>
  <c r="K26" i="17" s="1"/>
  <c r="C26" i="17" a="1"/>
  <c r="C26" i="17" s="1"/>
  <c r="J26" i="17" a="1"/>
  <c r="J26" i="17" s="1"/>
  <c r="L26" i="17" a="1"/>
  <c r="L26" i="17" s="1"/>
  <c r="G22" i="2"/>
  <c r="G35" i="2" s="1"/>
  <c r="G40" i="2" s="1"/>
  <c r="G45" i="2" s="1"/>
  <c r="D22" i="2"/>
  <c r="D35" i="2" s="1"/>
  <c r="D40" i="2" s="1"/>
  <c r="D45" i="2" s="1"/>
  <c r="H26" i="17" a="1"/>
  <c r="H26" i="17" s="1"/>
  <c r="G26" i="17" a="1"/>
  <c r="G26" i="17" s="1"/>
  <c r="M26" i="17" a="1"/>
  <c r="M26" i="17" s="1"/>
  <c r="K40" i="2"/>
  <c r="K45" i="2" s="1"/>
  <c r="O39" i="2"/>
  <c r="D27" i="12"/>
  <c r="D33" i="12" s="1"/>
  <c r="C33" i="12"/>
  <c r="O20" i="2"/>
  <c r="O16" i="2"/>
  <c r="C16" i="2"/>
  <c r="C44" i="2" s="1"/>
  <c r="O44" i="2" s="1"/>
  <c r="C26" i="18"/>
  <c r="C27" i="18"/>
  <c r="D23" i="18" s="1"/>
  <c r="C25" i="18"/>
  <c r="D26" i="18"/>
  <c r="B33" i="18"/>
  <c r="B34" i="18"/>
  <c r="L25" i="18"/>
  <c r="M25" i="18"/>
  <c r="D25" i="18"/>
  <c r="C34" i="18"/>
  <c r="E25" i="18"/>
  <c r="F26" i="18"/>
  <c r="D33" i="18"/>
  <c r="D34" i="18"/>
  <c r="E26" i="18"/>
  <c r="C33" i="18"/>
  <c r="F25" i="18"/>
  <c r="G26" i="18"/>
  <c r="E33" i="18"/>
  <c r="E34" i="18"/>
  <c r="M26" i="18"/>
  <c r="B18" i="18"/>
  <c r="G25" i="18"/>
  <c r="H26" i="18"/>
  <c r="F33" i="18"/>
  <c r="C35" i="2" l="1"/>
  <c r="C40" i="2" s="1"/>
  <c r="B26" i="17" a="1"/>
  <c r="B26" i="17" s="1"/>
  <c r="E22" i="2"/>
  <c r="E35" i="2" s="1"/>
  <c r="E40" i="2" s="1"/>
  <c r="E45" i="2" s="1"/>
  <c r="D26" i="17" a="1"/>
  <c r="D26" i="17" s="1"/>
  <c r="E26" i="17" a="1"/>
  <c r="E26" i="17" s="1"/>
  <c r="I26" i="17" a="1"/>
  <c r="I26" i="17" s="1"/>
  <c r="N33" i="18"/>
  <c r="N25" i="18"/>
  <c r="F32" i="18"/>
  <c r="F24" i="18"/>
  <c r="G32" i="18"/>
  <c r="E32" i="18"/>
  <c r="E24" i="18"/>
  <c r="C32" i="18"/>
  <c r="C24" i="18"/>
  <c r="L24" i="18"/>
  <c r="D32" i="18"/>
  <c r="D24" i="18"/>
  <c r="H32" i="18"/>
  <c r="G24" i="18"/>
  <c r="I24" i="18"/>
  <c r="B32" i="18"/>
  <c r="M24" i="18"/>
  <c r="K24" i="18"/>
  <c r="J24" i="18"/>
  <c r="H24" i="18"/>
  <c r="D27" i="18"/>
  <c r="E23" i="18" s="1"/>
  <c r="E27" i="18" s="1"/>
  <c r="F23" i="18" s="1"/>
  <c r="F27" i="18" s="1"/>
  <c r="G23" i="18" s="1"/>
  <c r="G27" i="18" s="1"/>
  <c r="H23" i="18" s="1"/>
  <c r="H27" i="18" s="1"/>
  <c r="I23" i="18" s="1"/>
  <c r="I27" i="18" s="1"/>
  <c r="J23" i="18" s="1"/>
  <c r="J27" i="18" s="1"/>
  <c r="K23" i="18" s="1"/>
  <c r="K27" i="18" s="1"/>
  <c r="L23" i="18" s="1"/>
  <c r="L27" i="18" s="1"/>
  <c r="M23" i="18" s="1"/>
  <c r="M27" i="18" s="1"/>
  <c r="B31" i="18" s="1"/>
  <c r="B35" i="18" s="1"/>
  <c r="C31" i="18" s="1"/>
  <c r="C35" i="18" s="1"/>
  <c r="D31" i="18" s="1"/>
  <c r="D35" i="18" s="1"/>
  <c r="E31" i="18" s="1"/>
  <c r="E35" i="18" s="1"/>
  <c r="F31" i="18" s="1"/>
  <c r="F35" i="18" s="1"/>
  <c r="G31" i="18" s="1"/>
  <c r="G35" i="18" s="1"/>
  <c r="H31" i="18" s="1"/>
  <c r="H35" i="18" s="1"/>
  <c r="I31" i="18" s="1"/>
  <c r="N34" i="18"/>
  <c r="N26" i="18"/>
  <c r="C45" i="2" l="1"/>
  <c r="C46" i="2" s="1"/>
  <c r="C48" i="2" s="1"/>
  <c r="C49" i="2" s="1"/>
  <c r="B42" i="14"/>
  <c r="O40" i="2"/>
  <c r="O35" i="2"/>
  <c r="O22" i="2"/>
  <c r="C13" i="12" s="1"/>
  <c r="O45" i="2"/>
  <c r="N24" i="18"/>
  <c r="N32" i="18"/>
  <c r="C16" i="12" l="1"/>
  <c r="D13" i="12"/>
  <c r="P47" i="15"/>
  <c r="P35" i="15"/>
  <c r="C40" i="15"/>
  <c r="D40" i="15"/>
  <c r="E40" i="15"/>
  <c r="E41" i="15" s="1"/>
  <c r="F40" i="15"/>
  <c r="F41" i="15" s="1"/>
  <c r="G40" i="15"/>
  <c r="G41" i="15" s="1"/>
  <c r="H40" i="15"/>
  <c r="H41" i="15" s="1"/>
  <c r="I40" i="15"/>
  <c r="I41" i="15" s="1"/>
  <c r="J40" i="15"/>
  <c r="J41" i="15" s="1"/>
  <c r="K40" i="15"/>
  <c r="K41" i="15" s="1"/>
  <c r="L40" i="15"/>
  <c r="L41" i="15" s="1"/>
  <c r="M40" i="15"/>
  <c r="M41" i="15" s="1"/>
  <c r="B40" i="15"/>
  <c r="B44" i="15" s="1"/>
  <c r="C28" i="15"/>
  <c r="D28" i="15"/>
  <c r="D32" i="15" s="1"/>
  <c r="E28" i="15"/>
  <c r="F28" i="15"/>
  <c r="G28" i="15"/>
  <c r="H28" i="15"/>
  <c r="I28" i="15"/>
  <c r="J28" i="15"/>
  <c r="J29" i="15" s="1"/>
  <c r="K28" i="15"/>
  <c r="K29" i="15" s="1"/>
  <c r="L28" i="15"/>
  <c r="L32" i="15" s="1"/>
  <c r="M28" i="15"/>
  <c r="M32" i="15" s="1"/>
  <c r="B28" i="15"/>
  <c r="D11" i="15"/>
  <c r="C44" i="15"/>
  <c r="D44" i="15"/>
  <c r="E44" i="15"/>
  <c r="F44" i="15"/>
  <c r="G44" i="15"/>
  <c r="H44" i="15"/>
  <c r="J44" i="15"/>
  <c r="K44" i="15"/>
  <c r="L44" i="15"/>
  <c r="M44" i="15"/>
  <c r="B42" i="15"/>
  <c r="B29" i="15"/>
  <c r="C32" i="15"/>
  <c r="E32" i="15"/>
  <c r="F32" i="15"/>
  <c r="G32" i="15"/>
  <c r="H32" i="15"/>
  <c r="I32" i="15"/>
  <c r="J32" i="15"/>
  <c r="K32" i="15"/>
  <c r="B32" i="15"/>
  <c r="C41" i="15"/>
  <c r="D41" i="15"/>
  <c r="B41" i="15"/>
  <c r="N40" i="15"/>
  <c r="C29" i="15"/>
  <c r="D29" i="15"/>
  <c r="E29" i="15"/>
  <c r="F29" i="15"/>
  <c r="G29" i="15"/>
  <c r="H29" i="15"/>
  <c r="I29" i="15"/>
  <c r="D16" i="12" l="1"/>
  <c r="C18" i="12"/>
  <c r="I44" i="15"/>
  <c r="B46" i="15"/>
  <c r="B45" i="15"/>
  <c r="N28" i="15"/>
  <c r="M29" i="15"/>
  <c r="L29" i="15"/>
  <c r="B47" i="15"/>
  <c r="B43" i="15"/>
  <c r="D18" i="12" l="1"/>
  <c r="C35" i="12"/>
  <c r="D30" i="13" s="1"/>
  <c r="D34" i="13" s="1"/>
  <c r="C11" i="15"/>
  <c r="C12" i="15"/>
  <c r="D12" i="15"/>
  <c r="N23" i="15"/>
  <c r="B6" i="15"/>
  <c r="D35" i="12" l="1"/>
  <c r="E46" i="15"/>
  <c r="F45" i="15"/>
  <c r="G45" i="15"/>
  <c r="H46" i="15"/>
  <c r="J45" i="15"/>
  <c r="L45" i="15"/>
  <c r="M46" i="15"/>
  <c r="C43" i="15"/>
  <c r="D43" i="15"/>
  <c r="E42" i="15"/>
  <c r="F42" i="15"/>
  <c r="G42" i="15"/>
  <c r="H43" i="15"/>
  <c r="I43" i="15"/>
  <c r="J42" i="15"/>
  <c r="K42" i="15"/>
  <c r="L42" i="15"/>
  <c r="M42" i="15"/>
  <c r="C33" i="15"/>
  <c r="D33" i="15"/>
  <c r="E33" i="15"/>
  <c r="G34" i="15"/>
  <c r="H33" i="15"/>
  <c r="I34" i="15"/>
  <c r="L33" i="15"/>
  <c r="M33" i="15"/>
  <c r="B34" i="15"/>
  <c r="M30" i="15"/>
  <c r="C31" i="15"/>
  <c r="D31" i="15"/>
  <c r="E31" i="15"/>
  <c r="F31" i="15"/>
  <c r="H31" i="15"/>
  <c r="I35" i="15"/>
  <c r="J30" i="15"/>
  <c r="K31" i="15"/>
  <c r="L31" i="15"/>
  <c r="M31" i="15"/>
  <c r="N22" i="15"/>
  <c r="D17" i="15"/>
  <c r="D16" i="15"/>
  <c r="C34" i="15" l="1"/>
  <c r="L43" i="15"/>
  <c r="E45" i="15"/>
  <c r="K43" i="15"/>
  <c r="K47" i="15"/>
  <c r="M43" i="15"/>
  <c r="F43" i="15"/>
  <c r="G33" i="15"/>
  <c r="E43" i="15"/>
  <c r="G43" i="15"/>
  <c r="E47" i="15"/>
  <c r="G35" i="15"/>
  <c r="G46" i="15"/>
  <c r="F46" i="15"/>
  <c r="D35" i="15"/>
  <c r="H34" i="15"/>
  <c r="H47" i="15"/>
  <c r="J43" i="15"/>
  <c r="I42" i="15"/>
  <c r="G47" i="15"/>
  <c r="H42" i="15"/>
  <c r="C35" i="15"/>
  <c r="D34" i="15"/>
  <c r="F47" i="15"/>
  <c r="I47" i="15"/>
  <c r="C42" i="15"/>
  <c r="N41" i="15"/>
  <c r="D42" i="15"/>
  <c r="I30" i="15"/>
  <c r="J31" i="15"/>
  <c r="D47" i="15"/>
  <c r="I31" i="15"/>
  <c r="K35" i="15"/>
  <c r="N44" i="15"/>
  <c r="M45" i="15"/>
  <c r="L46" i="15"/>
  <c r="K46" i="15"/>
  <c r="D45" i="15"/>
  <c r="C45" i="15"/>
  <c r="C47" i="15"/>
  <c r="M47" i="15"/>
  <c r="K45" i="15"/>
  <c r="L47" i="15"/>
  <c r="J46" i="15"/>
  <c r="I45" i="15"/>
  <c r="J47" i="15"/>
  <c r="I46" i="15"/>
  <c r="H45" i="15"/>
  <c r="D46" i="15"/>
  <c r="C46" i="15"/>
  <c r="G30" i="15"/>
  <c r="E35" i="15"/>
  <c r="N29" i="15"/>
  <c r="B30" i="15"/>
  <c r="B31" i="15"/>
  <c r="E34" i="15"/>
  <c r="H35" i="15"/>
  <c r="H30" i="15"/>
  <c r="G31" i="15"/>
  <c r="F35" i="15"/>
  <c r="N32" i="15"/>
  <c r="D30" i="15"/>
  <c r="C30" i="15"/>
  <c r="K30" i="15"/>
  <c r="F30" i="15"/>
  <c r="E30" i="15"/>
  <c r="L30" i="15"/>
  <c r="B33" i="15"/>
  <c r="M35" i="15"/>
  <c r="L34" i="15"/>
  <c r="K33" i="15"/>
  <c r="L35" i="15"/>
  <c r="K34" i="15"/>
  <c r="J33" i="15"/>
  <c r="J34" i="15"/>
  <c r="I33" i="15"/>
  <c r="J35" i="15"/>
  <c r="F33" i="15"/>
  <c r="M34" i="15"/>
  <c r="F34" i="15"/>
  <c r="N31" i="15" l="1"/>
  <c r="N43" i="15"/>
  <c r="N45" i="15"/>
  <c r="N42" i="15"/>
  <c r="N35" i="15"/>
  <c r="N47" i="15"/>
  <c r="N46" i="15"/>
  <c r="N34" i="15"/>
  <c r="N33" i="15"/>
  <c r="N30" i="15"/>
  <c r="O26" i="2" l="1"/>
  <c r="D36" i="13" l="1"/>
  <c r="D43" i="2" l="1"/>
  <c r="D46" i="2" s="1"/>
  <c r="D48" i="2" s="1"/>
  <c r="D49" i="2" s="1"/>
  <c r="E43" i="2" l="1"/>
  <c r="E46" i="2" s="1"/>
  <c r="E48" i="2" l="1"/>
  <c r="E49" i="2" s="1"/>
  <c r="F43" i="2" s="1"/>
  <c r="F46" i="2" s="1"/>
  <c r="F48" i="2" l="1"/>
  <c r="F49" i="2" s="1"/>
  <c r="G43" i="2" s="1"/>
  <c r="G46" i="2" s="1"/>
  <c r="G48" i="2" l="1"/>
  <c r="G49" i="2" s="1"/>
  <c r="H43" i="2" s="1"/>
  <c r="H46" i="2" s="1"/>
  <c r="H48" i="2" l="1"/>
  <c r="H49" i="2" s="1"/>
  <c r="I43" i="2" s="1"/>
  <c r="I46" i="2" s="1"/>
  <c r="I48" i="2" l="1"/>
  <c r="I49" i="2" s="1"/>
  <c r="J43" i="2" s="1"/>
  <c r="J46" i="2" l="1"/>
  <c r="J48" i="2" l="1"/>
  <c r="J49" i="2" s="1"/>
  <c r="K43" i="2" l="1"/>
  <c r="K46" i="2" l="1"/>
  <c r="K48" i="2" l="1"/>
  <c r="K49" i="2" l="1"/>
  <c r="L43" i="2" l="1"/>
  <c r="L46" i="2" l="1"/>
  <c r="L48" i="2" l="1"/>
  <c r="L49" i="2" l="1"/>
  <c r="M43" i="2" l="1"/>
  <c r="M46" i="2" l="1"/>
  <c r="M48" i="2" l="1"/>
  <c r="M49" i="2" l="1"/>
  <c r="N43" i="2" l="1"/>
  <c r="N46" i="2" l="1"/>
  <c r="O43" i="2"/>
  <c r="N48" i="2" l="1"/>
  <c r="O46" i="2"/>
  <c r="N49" i="2" l="1"/>
  <c r="C91" i="2" s="1"/>
  <c r="O48" i="2"/>
  <c r="C94" i="2" l="1"/>
  <c r="C96" i="2" s="1"/>
  <c r="C97" i="2" s="1"/>
  <c r="D91" i="2" s="1"/>
  <c r="D94" i="2" s="1"/>
  <c r="D96" i="2" s="1"/>
  <c r="D97" i="2" s="1"/>
  <c r="E91" i="2" s="1"/>
  <c r="E94" i="2" s="1"/>
  <c r="E96" i="2" s="1"/>
  <c r="E97" i="2" s="1"/>
  <c r="F91" i="2" s="1"/>
  <c r="F94" i="2" s="1"/>
  <c r="F96" i="2" s="1"/>
  <c r="F97" i="2" s="1"/>
  <c r="G91" i="2" s="1"/>
  <c r="G94" i="2" s="1"/>
  <c r="G96" i="2" s="1"/>
  <c r="G97" i="2" s="1"/>
  <c r="H91" i="2" s="1"/>
  <c r="H94" i="2" s="1"/>
  <c r="H96" i="2" s="1"/>
  <c r="H97" i="2" s="1"/>
  <c r="I91" i="2" s="1"/>
  <c r="I94" i="2" s="1"/>
  <c r="I96" i="2" s="1"/>
  <c r="I97" i="2" s="1"/>
  <c r="J91" i="2" s="1"/>
  <c r="J94" i="2" s="1"/>
  <c r="J96" i="2" s="1"/>
  <c r="J97" i="2" s="1"/>
  <c r="K91" i="2" s="1"/>
  <c r="K94" i="2" s="1"/>
  <c r="K96" i="2" s="1"/>
  <c r="K97" i="2" s="1"/>
  <c r="L91" i="2" s="1"/>
  <c r="L94" i="2" s="1"/>
  <c r="L96" i="2" s="1"/>
  <c r="L97" i="2" s="1"/>
  <c r="M91" i="2" s="1"/>
  <c r="M94" i="2" s="1"/>
  <c r="M96" i="2" s="1"/>
  <c r="D7" i="13"/>
  <c r="D10" i="13" s="1"/>
  <c r="D17" i="13" s="1"/>
  <c r="O49" i="2"/>
  <c r="M97" i="2" l="1"/>
  <c r="N91" i="2" s="1"/>
  <c r="O91" i="2" s="1"/>
  <c r="N94" i="2" l="1"/>
  <c r="O94" i="2" s="1"/>
  <c r="N96" i="2" l="1"/>
  <c r="N97" i="2" l="1"/>
  <c r="O96" i="2"/>
  <c r="E34" i="13"/>
  <c r="E36" i="13" s="1"/>
  <c r="O97" i="2" l="1"/>
  <c r="E7" i="13"/>
  <c r="E10" i="13" s="1"/>
  <c r="E17"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2E235F-564B-461E-99AD-57DA79F5E874}" keepAlive="1" name="Query - Family Budget" description="Connection to the 'Family Budget' query in the workbook." type="5" refreshedVersion="0" background="1" saveData="1">
    <dbPr connection="Provider=Microsoft.Mashup.OleDb.1;Data Source=$Workbook$;Location=&quot;Family Budget&quot;;Extended Properties=&quot;&quot;" command="SELECT * FROM [Family Budg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<sst xmlns="http://schemas.openxmlformats.org/spreadsheetml/2006/main" count="945" uniqueCount="496">
  <si>
    <t>Pawfect Pet Grooming - 2026</t>
  </si>
  <si>
    <t xml:space="preserve">Project </t>
  </si>
  <si>
    <t xml:space="preserve">This is a set of financial statement prepared for the Pet Grooming business to help with forecasting, budgeting, and overall financial analysis of a start-up business in Pet Care manufacturing and retaining. </t>
  </si>
  <si>
    <t>Contents</t>
  </si>
  <si>
    <t>Cover Page</t>
  </si>
  <si>
    <t xml:space="preserve">This page </t>
  </si>
  <si>
    <t xml:space="preserve">Net worth Statement </t>
  </si>
  <si>
    <t>Snapshot of financial health, comparing assets to liabilities.</t>
  </si>
  <si>
    <t>Family budget</t>
  </si>
  <si>
    <t xml:space="preserve"> Monthly income allocation for expenses, savings, and financial goals.</t>
  </si>
  <si>
    <t>CFF</t>
  </si>
  <si>
    <t xml:space="preserve">Proforma Cash Flow Statement </t>
  </si>
  <si>
    <t>IS</t>
  </si>
  <si>
    <t>Proforma Income Statement(s) Including Comparisons to Industry Performance Data.</t>
  </si>
  <si>
    <t>BS</t>
  </si>
  <si>
    <t>Proforma Balance Sheet(s)</t>
  </si>
  <si>
    <t xml:space="preserve">Startup </t>
  </si>
  <si>
    <t>Startup expenses are entered here. Includes a Statement of Cash and Startup Income Statement and Balance Sheet.</t>
  </si>
  <si>
    <t>Marketing</t>
  </si>
  <si>
    <t>Marketing expense projection for 2026 and 2027</t>
  </si>
  <si>
    <t xml:space="preserve">Sales Projections </t>
  </si>
  <si>
    <t>Sales Projections for 2026 and 2027</t>
  </si>
  <si>
    <t>Assets</t>
  </si>
  <si>
    <t>Capital Purchases and Depreciation</t>
  </si>
  <si>
    <t>HR Exp</t>
  </si>
  <si>
    <t>Owner Drawings and Employee Expenses</t>
  </si>
  <si>
    <t>Financing</t>
  </si>
  <si>
    <t>Financing including investments, loans and lines of Credit</t>
  </si>
  <si>
    <t>Other Exp</t>
  </si>
  <si>
    <t>Other expenses including location, marketing, delivery, etc.</t>
  </si>
  <si>
    <t>NAICS %</t>
  </si>
  <si>
    <t>2023 Industry Performance Data Sheet Unincorporated %</t>
  </si>
  <si>
    <t>NAICS $</t>
  </si>
  <si>
    <t>2023 Industry Performance Data Sheet Unincorporated $</t>
  </si>
  <si>
    <t>LEGEND</t>
  </si>
  <si>
    <t>User input cell</t>
  </si>
  <si>
    <t>Fields that can be changed and reflected in the calculations</t>
  </si>
  <si>
    <t>Calculated Cells</t>
  </si>
  <si>
    <t>Theses cells are calculated and should not be changed</t>
  </si>
  <si>
    <t>Check calculations</t>
  </si>
  <si>
    <t>Calculations used to validate the spreadsheet. This can ignored and should note printed.</t>
  </si>
  <si>
    <t>Memo</t>
  </si>
  <si>
    <t>Memo  field linked to original source</t>
  </si>
  <si>
    <t>Instructions</t>
  </si>
  <si>
    <t>Instructions are included throughout the template in the boxes shown in this colour</t>
  </si>
  <si>
    <t>Family Budget - 2025</t>
  </si>
  <si>
    <t>Category</t>
  </si>
  <si>
    <t>Husband's Amount</t>
  </si>
  <si>
    <t>Wife's Amount</t>
  </si>
  <si>
    <t>Total</t>
  </si>
  <si>
    <t>Income</t>
  </si>
  <si>
    <t>Salary</t>
  </si>
  <si>
    <t>Bonus</t>
  </si>
  <si>
    <t>Total Income</t>
  </si>
  <si>
    <t>Expenses</t>
  </si>
  <si>
    <t>Mortgage</t>
  </si>
  <si>
    <t>Utilities</t>
  </si>
  <si>
    <t>Car Loan</t>
  </si>
  <si>
    <t>Car Insurance</t>
  </si>
  <si>
    <t>Groceries</t>
  </si>
  <si>
    <t>Dining Out</t>
  </si>
  <si>
    <t>Entertainment</t>
  </si>
  <si>
    <t>Clothing</t>
  </si>
  <si>
    <t>Personal Care</t>
  </si>
  <si>
    <t>Gym Membership</t>
  </si>
  <si>
    <t>Cell Phone</t>
  </si>
  <si>
    <t>Internet</t>
  </si>
  <si>
    <t>Streaming Services</t>
  </si>
  <si>
    <t>Student Loan</t>
  </si>
  <si>
    <t>Credit Card Payment</t>
  </si>
  <si>
    <t>Total Expenses</t>
  </si>
  <si>
    <t>Savings</t>
  </si>
  <si>
    <t>TFSA</t>
  </si>
  <si>
    <t>RRSP</t>
  </si>
  <si>
    <t>Emergency Fund</t>
  </si>
  <si>
    <t>Investments</t>
  </si>
  <si>
    <t>Total Savings</t>
  </si>
  <si>
    <t>Net Cash Flow</t>
  </si>
  <si>
    <t>Notes:</t>
  </si>
  <si>
    <t xml:space="preserve">1. After tax income has been used for budgeting.                                                                        2. All the expense and investments numbers includes additional charges and tax paid.              </t>
  </si>
  <si>
    <t>Husband</t>
  </si>
  <si>
    <t>Wife</t>
  </si>
  <si>
    <t xml:space="preserve">Total </t>
  </si>
  <si>
    <t>Current Assets</t>
  </si>
  <si>
    <t>Bank Savings</t>
  </si>
  <si>
    <t>Stocks</t>
  </si>
  <si>
    <t>Mutual Funds</t>
  </si>
  <si>
    <t>Total Current Assets</t>
  </si>
  <si>
    <t>Long-term Assets</t>
  </si>
  <si>
    <t>Primary Residence</t>
  </si>
  <si>
    <t>Car</t>
  </si>
  <si>
    <t>Furniture</t>
  </si>
  <si>
    <t>Jewellery</t>
  </si>
  <si>
    <t>Total Long-term Assets</t>
  </si>
  <si>
    <t>Total Assets</t>
  </si>
  <si>
    <t>Current Liabilities</t>
  </si>
  <si>
    <t>Credit Card Debt - CIBC Aventura</t>
  </si>
  <si>
    <t>Credit Card Debt - Amex Gold</t>
  </si>
  <si>
    <t>Total Current Liabilities</t>
  </si>
  <si>
    <t>Long-term Liabilities</t>
  </si>
  <si>
    <t>Student Loans</t>
  </si>
  <si>
    <t>Total Long-term Liabilities</t>
  </si>
  <si>
    <t>Total Liabilities</t>
  </si>
  <si>
    <t>Net Worth</t>
  </si>
  <si>
    <t xml:space="preserve">Note: </t>
  </si>
  <si>
    <t xml:space="preserve">1. Both partners have maximized their TFSA contributions based on their age, with the husband having a higher amount due to more years of eligibility.
2. The RRSP contributions reflect the higher income of the husband, who has likely been able to contribute more over the years.                                                                                                                                                                                         3. Home is owned by husband and he is responsible to make monthly payments. </t>
  </si>
  <si>
    <t xml:space="preserve">Capital Investment </t>
  </si>
  <si>
    <t>Considering their liquid assets and annual savings capacity, the couple could potentially afford to invest $50,000 in a business venture without significantly impacting their current lifestyle or financial stability. This amount would allow them to maintain an emergency fund and continue meeting their regular expenses and savings goals.</t>
  </si>
  <si>
    <t xml:space="preserve">Pawfect Pet Grooming </t>
  </si>
  <si>
    <t>Proforma Cash Flow Statement</t>
  </si>
  <si>
    <t>January 2026 To December 2027</t>
  </si>
  <si>
    <t xml:space="preserve">Notes </t>
  </si>
  <si>
    <t>Inflows</t>
  </si>
  <si>
    <t xml:space="preserve">Sales </t>
  </si>
  <si>
    <t>Online Bookings - Cash</t>
  </si>
  <si>
    <t>Online Bookings - Credit Card</t>
  </si>
  <si>
    <t xml:space="preserve">Total Online Bookings </t>
  </si>
  <si>
    <t>Phone Bookings - Cash</t>
  </si>
  <si>
    <t>Phone Bookings - Credit Card</t>
  </si>
  <si>
    <t xml:space="preserve">Total Phone Bookings </t>
  </si>
  <si>
    <t xml:space="preserve">Total Sales </t>
  </si>
  <si>
    <t>Owner's Investment</t>
  </si>
  <si>
    <t>Startup/ Financing</t>
  </si>
  <si>
    <t>Loan</t>
  </si>
  <si>
    <t>Total Inflows</t>
  </si>
  <si>
    <t xml:space="preserve"> Total</t>
  </si>
  <si>
    <t>Notes</t>
  </si>
  <si>
    <t>Outflows</t>
  </si>
  <si>
    <t>Startup</t>
  </si>
  <si>
    <t>Startup Expenses</t>
  </si>
  <si>
    <t>HR</t>
  </si>
  <si>
    <t>Groomer Wages</t>
  </si>
  <si>
    <t>Payroll Taxes &amp; Benefits</t>
  </si>
  <si>
    <t>OPs</t>
  </si>
  <si>
    <t>Grooming Supplies</t>
  </si>
  <si>
    <t>Ops</t>
  </si>
  <si>
    <t>Van Fuel</t>
  </si>
  <si>
    <t>Vehicle Maintenance</t>
  </si>
  <si>
    <t>Repairs and Maintenance</t>
  </si>
  <si>
    <t>Utilities and Telephone</t>
  </si>
  <si>
    <t>Markt.</t>
  </si>
  <si>
    <t>Marketing &amp; Advertising</t>
  </si>
  <si>
    <t>Delivery Fees</t>
  </si>
  <si>
    <t>Auto Insurance</t>
  </si>
  <si>
    <t xml:space="preserve">Liability Insurance </t>
  </si>
  <si>
    <t>Bank Charges</t>
  </si>
  <si>
    <t>Miscellaneous Expenses</t>
  </si>
  <si>
    <t>Credit Card Processing Fees</t>
  </si>
  <si>
    <t>Total Operating Expenses</t>
  </si>
  <si>
    <t>Van Loan Principal</t>
  </si>
  <si>
    <t>Van Loan Interest</t>
  </si>
  <si>
    <t>Owner's Drawings</t>
  </si>
  <si>
    <t>Total Financing Outflows</t>
  </si>
  <si>
    <t>Total Outflows</t>
  </si>
  <si>
    <t xml:space="preserve">Reconciliation </t>
  </si>
  <si>
    <t xml:space="preserve">Beginning Cash on hand </t>
  </si>
  <si>
    <t>Add: Total Inflows</t>
  </si>
  <si>
    <t>Less: Total Outflows</t>
  </si>
  <si>
    <t xml:space="preserve">Total Cash Before Borrowing </t>
  </si>
  <si>
    <t>Memo: Contingency Amt.</t>
  </si>
  <si>
    <t xml:space="preserve">Total to Borrow </t>
  </si>
  <si>
    <t xml:space="preserve">Ending Cash On hand </t>
  </si>
  <si>
    <t xml:space="preserve">Proforma Income Statement </t>
  </si>
  <si>
    <t>Amount ($)</t>
  </si>
  <si>
    <t>% of Sales</t>
  </si>
  <si>
    <t>Industry Benchmark %</t>
  </si>
  <si>
    <t>Sales</t>
  </si>
  <si>
    <t>Online Bookings</t>
  </si>
  <si>
    <t>Phone Bookings</t>
  </si>
  <si>
    <t>Total Sales</t>
  </si>
  <si>
    <t>Total Revenue</t>
  </si>
  <si>
    <t>Cost of Goods Sold</t>
  </si>
  <si>
    <t>Wages &amp; Benefits</t>
  </si>
  <si>
    <t>Wages and Benefits</t>
  </si>
  <si>
    <t>Purchases, Materials, and Sub-contracts</t>
  </si>
  <si>
    <t>Part of service delivery costs</t>
  </si>
  <si>
    <t>Total COGS</t>
  </si>
  <si>
    <t>Cost of sales (direct expenses)</t>
  </si>
  <si>
    <t>Gross Profit</t>
  </si>
  <si>
    <t>Operating expenses</t>
  </si>
  <si>
    <t>Depreciation</t>
  </si>
  <si>
    <t>Amortization and depletion</t>
  </si>
  <si>
    <t>Fuel Charge</t>
  </si>
  <si>
    <t>Repairs and maintenance</t>
  </si>
  <si>
    <t>Utilities and telephone/telecommunication</t>
  </si>
  <si>
    <t>Delivery, shipping and warehouse expenses</t>
  </si>
  <si>
    <t>Insurance</t>
  </si>
  <si>
    <t>Interest &amp; Bank Charges</t>
  </si>
  <si>
    <t>Interest and bank charges</t>
  </si>
  <si>
    <t>Interest Expense</t>
  </si>
  <si>
    <t>Advertising and promotion</t>
  </si>
  <si>
    <t>Other Expenses</t>
  </si>
  <si>
    <t>Total expenses</t>
  </si>
  <si>
    <t>Total Operating Profit Before Taxes</t>
  </si>
  <si>
    <t>Net profit/loss</t>
  </si>
  <si>
    <t>Proforma Balance Sheet as of Dec 31, 2026 &amp;2027</t>
  </si>
  <si>
    <t>as of December 31, 2026</t>
  </si>
  <si>
    <t>as of December 31, 2027</t>
  </si>
  <si>
    <t>Cash on hand</t>
  </si>
  <si>
    <t>Inventories</t>
  </si>
  <si>
    <t>A/R</t>
  </si>
  <si>
    <t>Long Term Assets</t>
  </si>
  <si>
    <t xml:space="preserve">LT  Assets Original Value </t>
  </si>
  <si>
    <t>Less: Accumulated Depreciation</t>
  </si>
  <si>
    <t xml:space="preserve">Total Net LT Assets </t>
  </si>
  <si>
    <t xml:space="preserve">Liabilities and Equity </t>
  </si>
  <si>
    <t xml:space="preserve">Current Liabilities </t>
  </si>
  <si>
    <t>Line of Credit</t>
  </si>
  <si>
    <t xml:space="preserve">Long term Liabilities </t>
  </si>
  <si>
    <t xml:space="preserve">Total Liabilities </t>
  </si>
  <si>
    <t>Equity</t>
  </si>
  <si>
    <t xml:space="preserve">Opening owner's Equity </t>
  </si>
  <si>
    <t>Add profit (Less Loss)</t>
  </si>
  <si>
    <t>Add Owner Inflow</t>
  </si>
  <si>
    <t>Add Capital Increase</t>
  </si>
  <si>
    <t>Less Owner's Drawings</t>
  </si>
  <si>
    <t>Owner's Equity</t>
  </si>
  <si>
    <t xml:space="preserve">Total Liabilities + Equity </t>
  </si>
  <si>
    <t>Pawfect Pet Grooming Shop</t>
  </si>
  <si>
    <t>Description</t>
  </si>
  <si>
    <t>Business Registration &amp; Licensing</t>
  </si>
  <si>
    <t>Business registration fees, permits, and licenses</t>
  </si>
  <si>
    <t>Includes commercial vehicle registration and local permits.</t>
  </si>
  <si>
    <t>Mobile Van &amp; Equipment</t>
  </si>
  <si>
    <t>Van purchase/down payment</t>
  </si>
  <si>
    <t>Down payment for mobile grooming van.</t>
  </si>
  <si>
    <t>Van customization (interior setup)</t>
  </si>
  <si>
    <t>Includes grooming tables, dryers, water tanks, and plumbing.</t>
  </si>
  <si>
    <t>Grooming equipment</t>
  </si>
  <si>
    <t>Includes clippers, scissors, brushes, nail trimmers, etc.</t>
  </si>
  <si>
    <t>Initial inventory</t>
  </si>
  <si>
    <t>Shampoos, conditioners, cleaning supplies for the first month.</t>
  </si>
  <si>
    <t>Technology &amp; Software</t>
  </si>
  <si>
    <t>Scheduling and booking software</t>
  </si>
  <si>
    <t>Annual subscription for a pet grooming scheduling app.</t>
  </si>
  <si>
    <t>Website development</t>
  </si>
  <si>
    <t>User-friendly website with online booking capabilities.</t>
  </si>
  <si>
    <t>Mobile app development</t>
  </si>
  <si>
    <t>Custom app for customer bookings and service tracking.</t>
  </si>
  <si>
    <t>Marketing &amp; Branding</t>
  </si>
  <si>
    <t>Logo design</t>
  </si>
  <si>
    <t>Professional logo design to reflect branding strategy.</t>
  </si>
  <si>
    <t>Vehicle wrap design and application</t>
  </si>
  <si>
    <t>Branding on the mobile van to serve as a moving advertisement.</t>
  </si>
  <si>
    <t>Website Development</t>
  </si>
  <si>
    <t>Initial setup of Instagram, Facebook, and TikTok accounts with content creation.</t>
  </si>
  <si>
    <t>Initial advertising campaign</t>
  </si>
  <si>
    <t>Digital ads targeting local pet owners in the Kitchener-Waterloo region.</t>
  </si>
  <si>
    <t>Professional Services</t>
  </si>
  <si>
    <t>Legal fees</t>
  </si>
  <si>
    <t>Covering contracts and compliance with local regulations.</t>
  </si>
  <si>
    <t>Accounting fees</t>
  </si>
  <si>
    <t>Assistance with setting up accounting systems and tax planning.</t>
  </si>
  <si>
    <t>Auto insurance</t>
  </si>
  <si>
    <t>Covers liability insurance for mobile operations and equipment.</t>
  </si>
  <si>
    <t xml:space="preserve">Covers liability insurance for any injuries or accident on business. </t>
  </si>
  <si>
    <t>Miscellaneous</t>
  </si>
  <si>
    <t>Unforeseen costs during startup (e.g., repairs or additional supplies).</t>
  </si>
  <si>
    <t>Total Startup Cost</t>
  </si>
  <si>
    <t>1. The mobile grooming van's significant portion of the startup costs allocated to its down payment and remodelling.
2. Inventory includes initial supplies and products needed for the first month of operations.
3. Marketing costs are allocated for initial brand awareness and customer acquisition.
4.Professional fees cover legal and accounting services needed for business setup.
5. A miscellaneous expense category is included to account for unforeseen costs.</t>
  </si>
  <si>
    <t>Pawfect Pet Grooming</t>
  </si>
  <si>
    <t>Startup Cash Requirements</t>
  </si>
  <si>
    <t>Owner Investment</t>
  </si>
  <si>
    <t xml:space="preserve">Outflow </t>
  </si>
  <si>
    <t>Investment Required</t>
  </si>
  <si>
    <t>Sales Projections</t>
  </si>
  <si>
    <t>Forecast: 2026-2027</t>
  </si>
  <si>
    <t xml:space="preserve">Growth rate for 2nd Year </t>
  </si>
  <si>
    <t xml:space="preserve">Forecasted Sales &amp; Payment Mix </t>
  </si>
  <si>
    <t xml:space="preserve">Sales Channels </t>
  </si>
  <si>
    <t>Year 1</t>
  </si>
  <si>
    <t>Year 2</t>
  </si>
  <si>
    <t>% of Sales Mix</t>
  </si>
  <si>
    <t xml:space="preserve">Sales in $ </t>
  </si>
  <si>
    <t>Phone Booking</t>
  </si>
  <si>
    <t>Payment Methods</t>
  </si>
  <si>
    <t>Cash</t>
  </si>
  <si>
    <t>Credit/Debit Card</t>
  </si>
  <si>
    <t>Because of Easy payment system on website</t>
  </si>
  <si>
    <t xml:space="preserve">Monthly Seasonality of Business </t>
  </si>
  <si>
    <t xml:space="preserve">Month </t>
  </si>
  <si>
    <t>Jan</t>
  </si>
  <si>
    <t>Feb</t>
  </si>
  <si>
    <t>Mar</t>
  </si>
  <si>
    <t>Apr</t>
  </si>
  <si>
    <t>May</t>
  </si>
  <si>
    <t>Jun</t>
  </si>
  <si>
    <t>Jul</t>
  </si>
  <si>
    <t>Aug</t>
  </si>
  <si>
    <t>Sep</t>
  </si>
  <si>
    <t>Oct</t>
  </si>
  <si>
    <t>Nov</t>
  </si>
  <si>
    <t>Dec</t>
  </si>
  <si>
    <t>Year 1 - Seasonality in %</t>
  </si>
  <si>
    <t>Year 2 - Seasonality in %</t>
  </si>
  <si>
    <t>Sales Projection for 2026</t>
  </si>
  <si>
    <t>Seasonality Pattern in %</t>
  </si>
  <si>
    <t>Credit Card</t>
  </si>
  <si>
    <t xml:space="preserve">Total Year 1 Sales </t>
  </si>
  <si>
    <t>Sales Projection for 2027</t>
  </si>
  <si>
    <t xml:space="preserve">Total Year 2 Sales </t>
  </si>
  <si>
    <t>All the values are rounded to a whole number</t>
  </si>
  <si>
    <t>The supporting documents for the expected growth are on pg. 17 to 20 of Business Proposal.</t>
  </si>
  <si>
    <t xml:space="preserve">Marketing </t>
  </si>
  <si>
    <t>Year 1 -Total Rec. Mkt. Spent</t>
  </si>
  <si>
    <t>Year 2 -Total Rec. Mkt. Spent</t>
  </si>
  <si>
    <t>Recurring Monthly  Marketing Expense - Year 1</t>
  </si>
  <si>
    <t>Paid Social Media Advertising</t>
  </si>
  <si>
    <t>Google Ads</t>
  </si>
  <si>
    <t>Local Print Advertising</t>
  </si>
  <si>
    <t>Website Maintenance</t>
  </si>
  <si>
    <t xml:space="preserve">Monthly Total </t>
  </si>
  <si>
    <t xml:space="preserve">One-Time Marketing Expense </t>
  </si>
  <si>
    <t>One-Time Amount ($)</t>
  </si>
  <si>
    <t>Logo Design</t>
  </si>
  <si>
    <t>Vehicle Wrap Design</t>
  </si>
  <si>
    <t>Initial Advertising Campaign</t>
  </si>
  <si>
    <t xml:space="preserve">Seasonal Marketing Expense </t>
  </si>
  <si>
    <t xml:space="preserve">Annual Amount </t>
  </si>
  <si>
    <t>Event Participation</t>
  </si>
  <si>
    <t>Partnership Promotions</t>
  </si>
  <si>
    <t>Seasonal Specials</t>
  </si>
  <si>
    <t>Grand Total of Marketing Expenses for Year 1</t>
  </si>
  <si>
    <t>Monthly marketing cost is calculated based on seasonality pattern</t>
  </si>
  <si>
    <t>Assets and Depreciation</t>
  </si>
  <si>
    <t xml:space="preserve">Description </t>
  </si>
  <si>
    <t xml:space="preserve">Cost </t>
  </si>
  <si>
    <t>useful life (yrs)</t>
  </si>
  <si>
    <t xml:space="preserve">Value end </t>
  </si>
  <si>
    <t>Yearly Depreciation</t>
  </si>
  <si>
    <t>Mobile Grooming Van</t>
  </si>
  <si>
    <t>Includes the cost of the van used for mobile grooming services.</t>
  </si>
  <si>
    <t>Van Customization</t>
  </si>
  <si>
    <t>Interior setup for grooming services (e.g., water tanks, grooming tables).</t>
  </si>
  <si>
    <t>Grooming Equipment</t>
  </si>
  <si>
    <t>Includes clippers, dryers, scissors, and other grooming tools.</t>
  </si>
  <si>
    <t>Office Equipment</t>
  </si>
  <si>
    <t>Computer and printer for administrative tasks.</t>
  </si>
  <si>
    <t>Yearly Depreciation Summary</t>
  </si>
  <si>
    <t>Original Cost</t>
  </si>
  <si>
    <t>Accumulated Depreciation</t>
  </si>
  <si>
    <t>Human Resource Expenses</t>
  </si>
  <si>
    <t>Amount</t>
  </si>
  <si>
    <t>Owner Draw Per Month</t>
  </si>
  <si>
    <t xml:space="preserve">Starts from April </t>
  </si>
  <si>
    <t>Owner Gov't Payroll Tax %</t>
  </si>
  <si>
    <t>Owner Benefits Per Month</t>
  </si>
  <si>
    <t>Owner % Production</t>
  </si>
  <si>
    <t>Full-Time Groomer</t>
  </si>
  <si>
    <t>Full Time Hrs Per Month</t>
  </si>
  <si>
    <t>Based on 40 hours per week</t>
  </si>
  <si>
    <t>Full Time Wages Per Hour</t>
  </si>
  <si>
    <t>Full Time Payroll Tax and Benefits %</t>
  </si>
  <si>
    <t>Part-Time Assistant</t>
  </si>
  <si>
    <t>Part Time Wage Per Hour</t>
  </si>
  <si>
    <t>Part Time Payroll Tax and Benefits %</t>
  </si>
  <si>
    <t>Month</t>
  </si>
  <si>
    <t>TOTAL</t>
  </si>
  <si>
    <t>Full-Time Hours</t>
  </si>
  <si>
    <t>Full-Time Wages</t>
  </si>
  <si>
    <t>Full-Time Benefits</t>
  </si>
  <si>
    <t>Part-Time Hours</t>
  </si>
  <si>
    <t>Part-Time Wages</t>
  </si>
  <si>
    <t>Part-Time Benefits</t>
  </si>
  <si>
    <t>Monthly Total</t>
  </si>
  <si>
    <t xml:space="preserve">Financing </t>
  </si>
  <si>
    <t xml:space="preserve">Credit Card Fees </t>
  </si>
  <si>
    <t xml:space="preserve">Line of Credit Factors </t>
  </si>
  <si>
    <t>Interest Rate</t>
  </si>
  <si>
    <t>Interest Rate/month</t>
  </si>
  <si>
    <t>Credit Limit</t>
  </si>
  <si>
    <t>Contingency Amount</t>
  </si>
  <si>
    <t xml:space="preserve">Loan Calculation Worksheet- Parent's Loan </t>
  </si>
  <si>
    <t xml:space="preserve">Interest Rate </t>
  </si>
  <si>
    <t>Interest Rate/mth</t>
  </si>
  <si>
    <t xml:space="preserve">Period </t>
  </si>
  <si>
    <t>Amount of Loan (PV)</t>
  </si>
  <si>
    <t>Final Loan Balance (FV)</t>
  </si>
  <si>
    <t>Monthly Payment</t>
  </si>
  <si>
    <t xml:space="preserve">Loan Payment Table - Parent's Loan </t>
  </si>
  <si>
    <t xml:space="preserve">Year 1 </t>
  </si>
  <si>
    <t xml:space="preserve">Payment Number </t>
  </si>
  <si>
    <t>Opening balance</t>
  </si>
  <si>
    <t>Payment</t>
  </si>
  <si>
    <t>Interest portion of payment</t>
  </si>
  <si>
    <t>Principal portion of payment</t>
  </si>
  <si>
    <t xml:space="preserve">Closing balance </t>
  </si>
  <si>
    <t xml:space="preserve">Year 2 </t>
  </si>
  <si>
    <t xml:space="preserve">The financing depicts loan and payments of van </t>
  </si>
  <si>
    <t xml:space="preserve">Other Expenses </t>
  </si>
  <si>
    <t>Total Monthly Expense</t>
  </si>
  <si>
    <t>Frequency</t>
  </si>
  <si>
    <t>Lease and Location Expense</t>
  </si>
  <si>
    <t>Annual</t>
  </si>
  <si>
    <t>Professional Fees</t>
  </si>
  <si>
    <t xml:space="preserve">Monthly Recurring Total </t>
  </si>
  <si>
    <t xml:space="preserve">Annual Total </t>
  </si>
  <si>
    <t>NAICS% (2023)</t>
  </si>
  <si>
    <t>Whole
industry
(reliability)</t>
  </si>
  <si>
    <t>Bottom
quartile
(25%)</t>
  </si>
  <si>
    <t>Lower
middle
(25%)</t>
  </si>
  <si>
    <t>Upper
middle
(25%)</t>
  </si>
  <si>
    <t>Top
quartile
(25%)</t>
  </si>
  <si>
    <t>Percentage of
businesses
reporting</t>
  </si>
  <si>
    <t>Number of businesses</t>
  </si>
  <si>
    <t/>
  </si>
  <si>
    <t>Revenue range:</t>
  </si>
  <si>
    <t>Low Value ($000)</t>
  </si>
  <si>
    <t>High Value ($000)</t>
  </si>
  <si>
    <t>Revenues and expenses</t>
  </si>
  <si>
    <t>(percentage of total revenue) - Averages</t>
  </si>
  <si>
    <t>Total revenue</t>
  </si>
  <si>
    <t>Sales of goods and services</t>
  </si>
  <si>
    <t>N/A</t>
  </si>
  <si>
    <t>All other revenues</t>
  </si>
  <si>
    <r>
      <t>19.2</t>
    </r>
    <r>
      <rPr>
        <b/>
        <vertAlign val="superscript"/>
        <sz val="10"/>
        <color indexed="12"/>
        <rFont val="Arial"/>
        <family val="2"/>
      </rPr>
      <t>A</t>
    </r>
  </si>
  <si>
    <t>Wages and benefits</t>
  </si>
  <si>
    <r>
      <t>6.8</t>
    </r>
    <r>
      <rPr>
        <vertAlign val="superscript"/>
        <sz val="10"/>
        <color indexed="12"/>
        <rFont val="Arial"/>
        <family val="2"/>
      </rPr>
      <t>A</t>
    </r>
  </si>
  <si>
    <t>Purchases, materials and sub-contracts</t>
  </si>
  <si>
    <r>
      <t>12.4</t>
    </r>
    <r>
      <rPr>
        <vertAlign val="superscript"/>
        <sz val="10"/>
        <color indexed="12"/>
        <rFont val="Arial"/>
        <family val="2"/>
      </rPr>
      <t>A</t>
    </r>
  </si>
  <si>
    <t>Opening inventory</t>
  </si>
  <si>
    <r>
      <t>0.6</t>
    </r>
    <r>
      <rPr>
        <vertAlign val="superscript"/>
        <sz val="10"/>
        <color indexed="12"/>
        <rFont val="Arial"/>
        <family val="2"/>
      </rPr>
      <t>A</t>
    </r>
  </si>
  <si>
    <t>Closing inventory</t>
  </si>
  <si>
    <t>Operating expenses (indirect expenses)</t>
  </si>
  <si>
    <r>
      <t>63.6</t>
    </r>
    <r>
      <rPr>
        <b/>
        <vertAlign val="superscript"/>
        <sz val="10"/>
        <color indexed="12"/>
        <rFont val="Arial"/>
        <family val="2"/>
      </rPr>
      <t>A</t>
    </r>
  </si>
  <si>
    <t>Labour and commissions</t>
  </si>
  <si>
    <r>
      <t>29.3</t>
    </r>
    <r>
      <rPr>
        <vertAlign val="superscript"/>
        <sz val="10"/>
        <color indexed="12"/>
        <rFont val="Arial"/>
        <family val="2"/>
      </rPr>
      <t>A</t>
    </r>
  </si>
  <si>
    <r>
      <t>3.1</t>
    </r>
    <r>
      <rPr>
        <vertAlign val="superscript"/>
        <sz val="10"/>
        <color indexed="12"/>
        <rFont val="Arial"/>
        <family val="2"/>
      </rPr>
      <t>A</t>
    </r>
  </si>
  <si>
    <r>
      <t>2.1</t>
    </r>
    <r>
      <rPr>
        <vertAlign val="superscript"/>
        <sz val="10"/>
        <color indexed="12"/>
        <rFont val="Arial"/>
        <family val="2"/>
      </rPr>
      <t>A</t>
    </r>
  </si>
  <si>
    <r>
      <t>2.6</t>
    </r>
    <r>
      <rPr>
        <vertAlign val="superscript"/>
        <sz val="10"/>
        <color indexed="12"/>
        <rFont val="Arial"/>
        <family val="2"/>
      </rPr>
      <t>A</t>
    </r>
  </si>
  <si>
    <t>Rent</t>
  </si>
  <si>
    <r>
      <t>7.5</t>
    </r>
    <r>
      <rPr>
        <vertAlign val="superscript"/>
        <sz val="10"/>
        <color indexed="12"/>
        <rFont val="Arial"/>
        <family val="2"/>
      </rPr>
      <t>A</t>
    </r>
  </si>
  <si>
    <r>
      <t>1.1</t>
    </r>
    <r>
      <rPr>
        <vertAlign val="superscript"/>
        <sz val="10"/>
        <color indexed="12"/>
        <rFont val="Arial"/>
        <family val="2"/>
      </rPr>
      <t>A</t>
    </r>
  </si>
  <si>
    <t>Professional and business fees</t>
  </si>
  <si>
    <r>
      <t>2.3</t>
    </r>
    <r>
      <rPr>
        <vertAlign val="superscript"/>
        <sz val="10"/>
        <color indexed="12"/>
        <rFont val="Arial"/>
        <family val="2"/>
      </rPr>
      <t>A</t>
    </r>
  </si>
  <si>
    <r>
      <t>2.0</t>
    </r>
    <r>
      <rPr>
        <vertAlign val="superscript"/>
        <sz val="10"/>
        <color indexed="12"/>
        <rFont val="Arial"/>
        <family val="2"/>
      </rPr>
      <t>A</t>
    </r>
  </si>
  <si>
    <t>Other expenses</t>
  </si>
  <si>
    <r>
      <t>11.9</t>
    </r>
    <r>
      <rPr>
        <vertAlign val="superscript"/>
        <sz val="10"/>
        <color indexed="12"/>
        <rFont val="Arial"/>
        <family val="2"/>
      </rPr>
      <t>A</t>
    </r>
  </si>
  <si>
    <r>
      <t>82.8</t>
    </r>
    <r>
      <rPr>
        <b/>
        <vertAlign val="superscript"/>
        <sz val="10"/>
        <color indexed="12"/>
        <rFont val="Arial"/>
        <family val="2"/>
      </rPr>
      <t>A</t>
    </r>
  </si>
  <si>
    <r>
      <t>17.2</t>
    </r>
    <r>
      <rPr>
        <b/>
        <vertAlign val="superscript"/>
        <sz val="10"/>
        <color indexed="12"/>
        <rFont val="Arial"/>
        <family val="2"/>
      </rPr>
      <t>A</t>
    </r>
  </si>
  <si>
    <t>Financial ratios</t>
  </si>
  <si>
    <t>Averages</t>
  </si>
  <si>
    <t>Interest coverage ratio</t>
  </si>
  <si>
    <t>Gross margin (%)</t>
  </si>
  <si>
    <t>Profitable vs Non-profitable businesses</t>
  </si>
  <si>
    <t>(thousands of dollars)</t>
  </si>
  <si>
    <t>Profitable</t>
  </si>
  <si>
    <t>Percentage of businesses (%)</t>
  </si>
  <si>
    <r>
      <t>178.9</t>
    </r>
    <r>
      <rPr>
        <vertAlign val="superscript"/>
        <sz val="10"/>
        <color indexed="12"/>
        <rFont val="Arial"/>
        <family val="2"/>
      </rPr>
      <t>A</t>
    </r>
  </si>
  <si>
    <r>
      <t>129.6</t>
    </r>
    <r>
      <rPr>
        <vertAlign val="superscript"/>
        <sz val="10"/>
        <color indexed="12"/>
        <rFont val="Arial"/>
        <family val="2"/>
      </rPr>
      <t>A</t>
    </r>
  </si>
  <si>
    <t xml:space="preserve">Net profit </t>
  </si>
  <si>
    <r>
      <t>49.3</t>
    </r>
    <r>
      <rPr>
        <b/>
        <vertAlign val="superscript"/>
        <sz val="10"/>
        <color indexed="12"/>
        <rFont val="Arial"/>
        <family val="2"/>
      </rPr>
      <t>A</t>
    </r>
  </si>
  <si>
    <t>Non-Profitable</t>
  </si>
  <si>
    <r>
      <t>267.2</t>
    </r>
    <r>
      <rPr>
        <vertAlign val="superscript"/>
        <sz val="10"/>
        <color indexed="12"/>
        <rFont val="Arial"/>
        <family val="2"/>
      </rPr>
      <t>A</t>
    </r>
  </si>
  <si>
    <r>
      <t>316.8</t>
    </r>
    <r>
      <rPr>
        <vertAlign val="superscript"/>
        <sz val="10"/>
        <color indexed="12"/>
        <rFont val="Arial"/>
        <family val="2"/>
      </rPr>
      <t>A</t>
    </r>
  </si>
  <si>
    <t>Net loss</t>
  </si>
  <si>
    <r>
      <t>-49.6</t>
    </r>
    <r>
      <rPr>
        <b/>
        <vertAlign val="superscript"/>
        <sz val="10"/>
        <color indexed="12"/>
        <rFont val="Arial"/>
        <family val="2"/>
      </rPr>
      <t>A</t>
    </r>
  </si>
  <si>
    <r>
      <rPr>
        <b/>
        <sz val="10"/>
        <rFont val="Arial"/>
        <family val="2"/>
      </rPr>
      <t xml:space="preserve">Note: </t>
    </r>
    <r>
      <rPr>
        <sz val="10"/>
        <rFont val="Arial"/>
        <family val="2"/>
      </rPr>
      <t xml:space="preserve"> Balance sheet information is not available for all businesses and unincorporated businesses under the incorporation status.</t>
    </r>
  </si>
  <si>
    <t>Profile</t>
  </si>
  <si>
    <t>Revenue range</t>
  </si>
  <si>
    <t>Annual revenues $30,000 - $5,000,000</t>
  </si>
  <si>
    <t>Provinces / Territory / Canada</t>
  </si>
  <si>
    <t>Canada</t>
  </si>
  <si>
    <t>Incorporation status</t>
  </si>
  <si>
    <t>All businesses</t>
  </si>
  <si>
    <t>Distribution by</t>
  </si>
  <si>
    <t>Value in</t>
  </si>
  <si>
    <t>Percentage</t>
  </si>
  <si>
    <t>Data year:</t>
  </si>
  <si>
    <t>Industry</t>
  </si>
  <si>
    <t>NAICS 812910 - Pet care (except veterinary) services</t>
  </si>
  <si>
    <t>Legend for quality Indicators:</t>
  </si>
  <si>
    <t>A=Excellent
B=Very good
C=Good
D=Acceptable
E=Use with caution</t>
  </si>
  <si>
    <t>NAICS$ (2023)</t>
  </si>
  <si>
    <t>(thousands of dollars) - Averages</t>
  </si>
  <si>
    <r>
      <t>193.2</t>
    </r>
    <r>
      <rPr>
        <b/>
        <vertAlign val="superscript"/>
        <sz val="10"/>
        <color indexed="12"/>
        <rFont val="Arial"/>
        <family val="2"/>
      </rPr>
      <t>A</t>
    </r>
  </si>
  <si>
    <r>
      <t>37.1</t>
    </r>
    <r>
      <rPr>
        <b/>
        <vertAlign val="superscript"/>
        <sz val="10"/>
        <color indexed="12"/>
        <rFont val="Arial"/>
        <family val="2"/>
      </rPr>
      <t>A</t>
    </r>
  </si>
  <si>
    <r>
      <t>13.1</t>
    </r>
    <r>
      <rPr>
        <vertAlign val="superscript"/>
        <sz val="10"/>
        <color indexed="12"/>
        <rFont val="Arial"/>
        <family val="2"/>
      </rPr>
      <t>A</t>
    </r>
  </si>
  <si>
    <r>
      <t>24.0</t>
    </r>
    <r>
      <rPr>
        <vertAlign val="superscript"/>
        <sz val="10"/>
        <color indexed="12"/>
        <rFont val="Arial"/>
        <family val="2"/>
      </rPr>
      <t>A</t>
    </r>
  </si>
  <si>
    <r>
      <t>1.2</t>
    </r>
    <r>
      <rPr>
        <vertAlign val="superscript"/>
        <sz val="10"/>
        <color indexed="12"/>
        <rFont val="Arial"/>
        <family val="2"/>
      </rPr>
      <t>A</t>
    </r>
  </si>
  <si>
    <r>
      <t>122.8</t>
    </r>
    <r>
      <rPr>
        <b/>
        <vertAlign val="superscript"/>
        <sz val="10"/>
        <color indexed="12"/>
        <rFont val="Arial"/>
        <family val="2"/>
      </rPr>
      <t>A</t>
    </r>
  </si>
  <si>
    <r>
      <t>56.7</t>
    </r>
    <r>
      <rPr>
        <vertAlign val="superscript"/>
        <sz val="10"/>
        <color indexed="12"/>
        <rFont val="Arial"/>
        <family val="2"/>
      </rPr>
      <t>A</t>
    </r>
  </si>
  <si>
    <r>
      <t>5.9</t>
    </r>
    <r>
      <rPr>
        <vertAlign val="superscript"/>
        <sz val="10"/>
        <color indexed="12"/>
        <rFont val="Arial"/>
        <family val="2"/>
      </rPr>
      <t>A</t>
    </r>
  </si>
  <si>
    <r>
      <t>4.0</t>
    </r>
    <r>
      <rPr>
        <vertAlign val="superscript"/>
        <sz val="10"/>
        <color indexed="12"/>
        <rFont val="Arial"/>
        <family val="2"/>
      </rPr>
      <t>A</t>
    </r>
  </si>
  <si>
    <r>
      <t>5.0</t>
    </r>
    <r>
      <rPr>
        <vertAlign val="superscript"/>
        <sz val="10"/>
        <color indexed="12"/>
        <rFont val="Arial"/>
        <family val="2"/>
      </rPr>
      <t>A</t>
    </r>
  </si>
  <si>
    <r>
      <t>14.5</t>
    </r>
    <r>
      <rPr>
        <vertAlign val="superscript"/>
        <sz val="10"/>
        <color indexed="12"/>
        <rFont val="Arial"/>
        <family val="2"/>
      </rPr>
      <t>A</t>
    </r>
  </si>
  <si>
    <r>
      <t>4.5</t>
    </r>
    <r>
      <rPr>
        <vertAlign val="superscript"/>
        <sz val="10"/>
        <color indexed="12"/>
        <rFont val="Arial"/>
        <family val="2"/>
      </rPr>
      <t>A</t>
    </r>
  </si>
  <si>
    <r>
      <t>3.8</t>
    </r>
    <r>
      <rPr>
        <vertAlign val="superscript"/>
        <sz val="10"/>
        <color indexed="12"/>
        <rFont val="Arial"/>
        <family val="2"/>
      </rPr>
      <t>A</t>
    </r>
  </si>
  <si>
    <r>
      <t>2.2</t>
    </r>
    <r>
      <rPr>
        <vertAlign val="superscript"/>
        <sz val="10"/>
        <color indexed="12"/>
        <rFont val="Arial"/>
        <family val="2"/>
      </rPr>
      <t>A</t>
    </r>
  </si>
  <si>
    <r>
      <t>22.9</t>
    </r>
    <r>
      <rPr>
        <vertAlign val="superscript"/>
        <sz val="10"/>
        <color indexed="12"/>
        <rFont val="Arial"/>
        <family val="2"/>
      </rPr>
      <t>A</t>
    </r>
  </si>
  <si>
    <r>
      <t>159.9</t>
    </r>
    <r>
      <rPr>
        <b/>
        <vertAlign val="superscript"/>
        <sz val="10"/>
        <color indexed="12"/>
        <rFont val="Arial"/>
        <family val="2"/>
      </rPr>
      <t>A</t>
    </r>
  </si>
  <si>
    <r>
      <t>33.3</t>
    </r>
    <r>
      <rPr>
        <b/>
        <vertAlign val="superscript"/>
        <sz val="10"/>
        <color indexed="12"/>
        <rFont val="Arial"/>
        <family val="2"/>
      </rPr>
      <t>A</t>
    </r>
  </si>
  <si>
    <r>
      <t>49.3</t>
    </r>
    <r>
      <rPr>
        <vertAlign val="superscript"/>
        <sz val="10"/>
        <color indexed="12"/>
        <rFont val="Arial"/>
        <family val="2"/>
      </rPr>
      <t>A</t>
    </r>
  </si>
  <si>
    <r>
      <t>-49.6</t>
    </r>
    <r>
      <rPr>
        <vertAlign val="superscript"/>
        <sz val="10"/>
        <color indexed="12"/>
        <rFont val="Arial"/>
        <family val="2"/>
      </rPr>
      <t>A</t>
    </r>
  </si>
  <si>
    <t>Thousands of dollars</t>
  </si>
  <si>
    <t xml:space="preserve"> Startup + initial 3 Month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</si>
</sst>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4" formatCode="_(&quot;$&quot;* #,##0.00_);_(&quot;$&quot;* \(#,##0.00\);_(&quot;$&quot;* &quot;-&quot;??_);_(@_)"/>
    <numFmt numFmtId="164" formatCode="&quot;$&quot;#,##0;[Red]\-&quot;$&quot;#,##0"/>
    <numFmt numFmtId="165" formatCode="&quot;$&quot;#,##0"/>
    <numFmt numFmtId="166" formatCode="_-&quot;$&quot;* #,##0_-;\-&quot;$&quot;* #,##0_-;_-&quot;$&quot;* &quot;-&quot;??_-;_-@_-"/>
    <numFmt numFmtId="167" formatCode="_(&quot;$&quot;* #,##0_);_(&quot;$&quot;* \(#,##0\);_(&quot;$&quot;* &quot;-&quot;??_);_(@_)"/>
    <numFmt numFmtId="168" formatCode="0.0000%"/>
    <numFmt numFmtId="169" formatCode="0.0%"/>
    <numFmt numFmtId="170" formatCode="&quot;$&quot;#,##0.00"/>
  </numFmts>
  <fonts count="45">
    <font>
      <sz val="11"/>
      <color theme="1"/>
      <name val="Aptos Narrow"/>
      <family val="2"/>
      <scheme val="minor"/>
    </font>
    <font>
      <b/>
      <sz val="11"/>
      <color theme="1"/>
      <name val="Aptos Narrow"/>
      <family val="2"/>
      <scheme val="minor"/>
    </font>
    <font>
      <sz val="11"/>
      <color theme="1"/>
      <name val="Aptos Narrow"/>
      <family val="2"/>
      <scheme val="minor"/>
    </font>
    <font>
      <b/>
      <sz val="14"/>
      <color theme="1"/>
      <name val="Aptos Narrow"/>
      <family val="2"/>
      <scheme val="minor"/>
    </font>
    <font>
      <sz val="11"/>
      <color rgb="FF000000"/>
      <name val="Times New Roman"/>
      <family val="1"/>
    </font>
    <font>
      <sz val="11"/>
      <color rgb="FF7030A0"/>
      <name val="Aptos Narrow"/>
      <family val="2"/>
      <scheme val="minor"/>
    </font>
    <font>
      <sz val="11"/>
      <color theme="1"/>
      <name val="Arial"/>
      <family val="2"/>
    </font>
    <font>
      <sz val="8"/>
      <name val="Aptos Narrow"/>
      <family val="2"/>
      <scheme val="minor"/>
    </font>
    <font>
      <b/>
      <sz val="11"/>
      <color theme="1"/>
      <name val="Arial"/>
      <family val="2"/>
    </font>
    <font>
      <sz val="11"/>
      <color theme="8"/>
      <name val="Aptos Narrow"/>
      <family val="2"/>
      <scheme val="minor"/>
    </font>
    <font>
      <b/>
      <sz val="11"/>
      <color theme="0"/>
      <name val="Arial"/>
      <family val="2"/>
    </font>
    <font>
      <b/>
      <sz val="10"/>
      <name val="Arial"/>
      <family val="2"/>
    </font>
    <font>
      <sz val="10"/>
      <name val="Arial"/>
      <family val="2"/>
    </font>
    <font>
      <vertAlign val="superscript"/>
      <sz val="10"/>
      <color indexed="12"/>
      <name val="Arial"/>
      <family val="2"/>
    </font>
    <font>
      <b/>
      <u/>
      <sz val="10"/>
      <name val="Arial"/>
      <family val="2"/>
    </font>
    <font>
      <b/>
      <vertAlign val="superscript"/>
      <sz val="10"/>
      <color indexed="12"/>
      <name val="Arial"/>
      <family val="2"/>
    </font>
    <font>
      <b/>
      <sz val="16"/>
      <color theme="1"/>
      <name val="Aptos Narrow"/>
      <family val="2"/>
      <scheme val="minor"/>
    </font>
    <font>
      <u/>
      <sz val="18"/>
      <color theme="1"/>
      <name val="Aptos Narrow"/>
      <family val="2"/>
      <scheme val="minor"/>
    </font>
    <font>
      <sz val="11"/>
      <color theme="1"/>
      <name val="Segoe UI"/>
      <family val="2"/>
    </font>
    <font>
      <sz val="11"/>
      <color theme="1"/>
      <name val="Arial "/>
    </font>
    <font>
      <b/>
      <sz val="11"/>
      <color theme="1"/>
      <name val="Arial "/>
    </font>
    <font>
      <b/>
      <sz val="12"/>
      <color theme="1"/>
      <name val="Aptos Narrow"/>
      <family val="2"/>
      <scheme val="minor"/>
    </font>
    <font>
      <b/>
      <i/>
      <sz val="11"/>
      <color theme="1"/>
      <name val="Arial"/>
      <family val="2"/>
    </font>
    <font>
      <b/>
      <i/>
      <sz val="11"/>
      <color theme="1"/>
      <name val="Aptos Narrow"/>
      <family val="2"/>
      <scheme val="minor"/>
    </font>
    <font>
      <sz val="10"/>
      <color theme="1"/>
      <name val="Aptos Narrow"/>
      <family val="2"/>
      <scheme val="minor"/>
    </font>
    <font>
      <b/>
      <sz val="10"/>
      <color theme="1"/>
      <name val="Aptos Narrow"/>
      <family val="2"/>
      <scheme val="minor"/>
    </font>
    <font>
      <sz val="10"/>
      <name val="Aptos Narrow"/>
      <family val="2"/>
      <scheme val="minor"/>
    </font>
    <font>
      <b/>
      <sz val="10"/>
      <name val="Aptos Narrow"/>
      <family val="2"/>
      <scheme val="minor"/>
    </font>
    <font>
      <b/>
      <sz val="12"/>
      <color theme="0"/>
      <name val="Aptos Narrow"/>
      <family val="2"/>
      <scheme val="minor"/>
    </font>
    <font>
      <i/>
      <sz val="11"/>
      <color theme="1"/>
      <name val="Aptos Narrow"/>
      <family val="2"/>
      <scheme val="minor"/>
    </font>
    <font>
      <sz val="11"/>
      <color theme="8" tint="-0.499984740745262"/>
      <name val="Aptos Narrow"/>
      <family val="2"/>
      <scheme val="minor"/>
    </font>
    <font>
      <i/>
      <sz val="11"/>
      <color theme="1"/>
      <name val="Arial"/>
      <family val="2"/>
    </font>
    <font>
      <sz val="11"/>
      <color rgb="FF006100"/>
      <name val="Aptos Narrow"/>
      <family val="2"/>
      <scheme val="minor"/>
    </font>
    <font>
      <sz val="11"/>
      <color rgb="FF9C0006"/>
      <name val="Aptos Narrow"/>
      <family val="2"/>
      <scheme val="minor"/>
    </font>
    <font>
      <b/>
      <sz val="12"/>
      <color theme="1"/>
      <name val="Arial"/>
      <family val="2"/>
    </font>
    <font>
      <b/>
      <sz val="12"/>
      <color rgb="FF006100"/>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theme="1"/>
      <name val="Arial"/>
      <family val="2"/>
    </font>
    <font>
      <b/>
      <sz val="11"/>
      <color rgb="FF006100"/>
      <name val="Arial "/>
    </font>
    <font>
      <sz val="11"/>
      <color rgb="FF9C0006"/>
      <name val="Arial "/>
    </font>
    <font>
      <sz val="11"/>
      <color rgb="FF006100"/>
      <name val="Arial "/>
    </font>
    <font>
      <b/>
      <sz val="12"/>
      <color theme="1"/>
      <name val="Arial "/>
    </font>
    <font>
      <sz val="12"/>
      <color theme="1"/>
      <name val="Arial "/>
    </font>
  </fonts>
  <fills count="21">
    <fill>
      <patternFill patternType="none"/>
    </fill>
    <fill>
      <patternFill patternType="gray125"/>
    </fill>
    <fill>
      <patternFill patternType="solid">
        <fgColor theme="5" tint="-0.499984740745262"/>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theme="2" tint="-9.9978637043366805E-2"/>
        <bgColor indexed="64"/>
      </patternFill>
    </fill>
    <fill>
      <patternFill patternType="solid">
        <fgColor theme="7"/>
        <bgColor indexed="64"/>
      </patternFill>
    </fill>
    <fill>
      <patternFill patternType="solid">
        <fgColor rgb="FFF3ECD3"/>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double">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right style="medium">
        <color indexed="64"/>
      </right>
      <top/>
      <bottom style="thin">
        <color indexed="64"/>
      </bottom>
      <diagonal/>
    </border>
  </borders>
  <cellStyleXfs count="8">
    <xf numFmtId="0" fontId="0" fillId="0" borderId="0"/>
    <xf numFmtId="44" fontId="2" fillId="0" borderId="0" applyFont="0" applyFill="0" applyBorder="0" applyAlignment="0" applyProtection="0"/>
    <xf numFmtId="166" fontId="1" fillId="0" borderId="8"/>
    <xf numFmtId="0" fontId="8" fillId="0" borderId="0">
      <alignment horizontal="center"/>
    </xf>
    <xf numFmtId="0" fontId="12" fillId="0" borderId="0"/>
    <xf numFmtId="9" fontId="2" fillId="0" borderId="0" applyFont="0" applyFill="0" applyBorder="0" applyAlignment="0" applyProtection="0"/>
    <xf numFmtId="0" fontId="32" fillId="16" borderId="0" applyNumberFormat="0" applyBorder="0" applyAlignment="0" applyProtection="0"/>
    <xf numFmtId="0" fontId="33" fillId="17" borderId="0" applyNumberFormat="0" applyBorder="0" applyAlignment="0" applyProtection="0"/>
  </cellStyleXfs>
  <cellXfs count="410">
    <xf numFmtId="0" fontId="0" fillId="0" borderId="0" xfId="0"/>
    <xf numFmtId="0" fontId="0" fillId="0" borderId="1" xfId="0" applyBorder="1"/>
    <xf numFmtId="0" fontId="0" fillId="0" borderId="3" xfId="0" applyBorder="1" applyAlignment="1">
      <alignment wrapText="1"/>
    </xf>
    <xf numFmtId="0" fontId="0" fillId="0" borderId="3" xfId="0" applyBorder="1"/>
    <xf numFmtId="0" fontId="0" fillId="0" borderId="4" xfId="0" applyBorder="1"/>
    <xf numFmtId="0" fontId="0" fillId="0" borderId="5" xfId="0" applyBorder="1"/>
    <xf numFmtId="0" fontId="1" fillId="0" borderId="2" xfId="0" applyFont="1" applyBorder="1" applyAlignment="1">
      <alignment horizontal="center" vertical="center"/>
    </xf>
    <xf numFmtId="0" fontId="1" fillId="6" borderId="6" xfId="0" applyFont="1" applyFill="1" applyBorder="1"/>
    <xf numFmtId="0" fontId="0" fillId="4" borderId="7" xfId="0" applyFill="1" applyBorder="1"/>
    <xf numFmtId="0" fontId="0" fillId="7" borderId="7" xfId="0" applyFill="1" applyBorder="1"/>
    <xf numFmtId="0" fontId="0" fillId="3" borderId="7" xfId="0" applyFill="1" applyBorder="1"/>
    <xf numFmtId="0" fontId="0" fillId="9" borderId="7" xfId="0" applyFill="1" applyBorder="1"/>
    <xf numFmtId="0" fontId="0" fillId="11" borderId="7" xfId="0" applyFill="1" applyBorder="1"/>
    <xf numFmtId="0" fontId="0" fillId="5" borderId="7" xfId="0" applyFill="1" applyBorder="1"/>
    <xf numFmtId="0" fontId="0" fillId="0" borderId="7" xfId="0" applyBorder="1"/>
    <xf numFmtId="0" fontId="1" fillId="0" borderId="7" xfId="0" applyFont="1" applyBorder="1"/>
    <xf numFmtId="0" fontId="5" fillId="0" borderId="7" xfId="0" applyFont="1" applyBorder="1"/>
    <xf numFmtId="0" fontId="6" fillId="0" borderId="0" xfId="0" applyFont="1"/>
    <xf numFmtId="0" fontId="0" fillId="13" borderId="7" xfId="0" applyFill="1" applyBorder="1"/>
    <xf numFmtId="0" fontId="0" fillId="0" borderId="1" xfId="0" applyBorder="1" applyAlignment="1">
      <alignment horizontal="center"/>
    </xf>
    <xf numFmtId="0" fontId="3" fillId="0" borderId="0" xfId="0" applyFont="1"/>
    <xf numFmtId="0" fontId="1" fillId="0" borderId="1" xfId="0" applyFont="1" applyBorder="1"/>
    <xf numFmtId="167" fontId="9" fillId="0" borderId="0" xfId="0" applyNumberFormat="1" applyFont="1"/>
    <xf numFmtId="6" fontId="0" fillId="0" borderId="1" xfId="0" applyNumberFormat="1" applyBorder="1"/>
    <xf numFmtId="0" fontId="1" fillId="0" borderId="1" xfId="0" applyFont="1" applyBorder="1" applyAlignment="1">
      <alignment horizontal="center"/>
    </xf>
    <xf numFmtId="6" fontId="0" fillId="0" borderId="1" xfId="0" applyNumberFormat="1" applyBorder="1" applyAlignment="1">
      <alignment horizontal="center"/>
    </xf>
    <xf numFmtId="6" fontId="4" fillId="10" borderId="1" xfId="0" applyNumberFormat="1" applyFont="1" applyFill="1" applyBorder="1" applyAlignment="1">
      <alignment horizontal="center" vertical="center" wrapText="1"/>
    </xf>
    <xf numFmtId="0" fontId="0" fillId="6" borderId="1" xfId="0" applyFill="1" applyBorder="1" applyAlignment="1">
      <alignment horizontal="center"/>
    </xf>
    <xf numFmtId="0" fontId="4" fillId="10" borderId="1" xfId="0" applyFont="1" applyFill="1" applyBorder="1" applyAlignment="1">
      <alignment horizontal="center" vertical="center" wrapText="1"/>
    </xf>
    <xf numFmtId="165" fontId="6" fillId="0" borderId="0" xfId="0" applyNumberFormat="1" applyFont="1" applyAlignment="1">
      <alignment horizontal="center" vertical="center"/>
    </xf>
    <xf numFmtId="165" fontId="0" fillId="0" borderId="0" xfId="0" applyNumberFormat="1" applyAlignment="1">
      <alignment horizontal="center" vertical="center"/>
    </xf>
    <xf numFmtId="165" fontId="6" fillId="0" borderId="0" xfId="0" applyNumberFormat="1" applyFont="1" applyAlignment="1">
      <alignment vertical="center"/>
    </xf>
    <xf numFmtId="165" fontId="0" fillId="0" borderId="0" xfId="0" applyNumberFormat="1" applyAlignment="1">
      <alignment vertical="center"/>
    </xf>
    <xf numFmtId="0" fontId="0" fillId="0" borderId="0" xfId="0" applyAlignment="1">
      <alignment horizontal="left"/>
    </xf>
    <xf numFmtId="0" fontId="0" fillId="0" borderId="1" xfId="0" applyBorder="1" applyAlignment="1">
      <alignment horizontal="left"/>
    </xf>
    <xf numFmtId="0" fontId="11" fillId="0" borderId="0" xfId="0" applyFont="1" applyAlignment="1">
      <alignment wrapText="1"/>
    </xf>
    <xf numFmtId="0" fontId="12" fillId="0" borderId="0" xfId="0" applyFont="1" applyAlignment="1">
      <alignment wrapText="1"/>
    </xf>
    <xf numFmtId="49" fontId="12" fillId="0" borderId="0" xfId="0" applyNumberFormat="1" applyFont="1" applyAlignment="1">
      <alignment horizontal="right"/>
    </xf>
    <xf numFmtId="0" fontId="14" fillId="0" borderId="0" xfId="0" applyFont="1" applyAlignment="1">
      <alignment horizontal="left"/>
    </xf>
    <xf numFmtId="0" fontId="12" fillId="0" borderId="1" xfId="0" applyFont="1" applyBorder="1" applyAlignment="1">
      <alignment wrapText="1" indent="2"/>
    </xf>
    <xf numFmtId="2" fontId="0" fillId="0" borderId="1" xfId="0" applyNumberFormat="1" applyBorder="1"/>
    <xf numFmtId="49" fontId="12" fillId="0" borderId="1" xfId="0" applyNumberFormat="1" applyFont="1" applyBorder="1" applyAlignment="1">
      <alignment horizontal="right"/>
    </xf>
    <xf numFmtId="0" fontId="0" fillId="0" borderId="11" xfId="0" applyBorder="1" applyAlignment="1">
      <alignment horizontal="left"/>
    </xf>
    <xf numFmtId="0" fontId="0" fillId="0" borderId="4" xfId="0" applyBorder="1" applyAlignment="1">
      <alignment horizontal="left"/>
    </xf>
    <xf numFmtId="2" fontId="1" fillId="0" borderId="1" xfId="0" applyNumberFormat="1" applyFont="1" applyBorder="1"/>
    <xf numFmtId="0" fontId="14" fillId="0" borderId="0" xfId="0" applyFont="1"/>
    <xf numFmtId="0" fontId="1" fillId="0" borderId="0" xfId="0" applyFont="1"/>
    <xf numFmtId="0" fontId="0" fillId="0" borderId="1" xfId="0" applyBorder="1" applyAlignment="1">
      <alignment horizontal="left" vertical="top"/>
    </xf>
    <xf numFmtId="0" fontId="11" fillId="0" borderId="4" xfId="0" applyFont="1" applyBorder="1" applyAlignment="1">
      <alignment wrapText="1"/>
    </xf>
    <xf numFmtId="49" fontId="12" fillId="0" borderId="0" xfId="0" applyNumberFormat="1" applyFont="1" applyAlignment="1">
      <alignment vertical="top"/>
    </xf>
    <xf numFmtId="0" fontId="0" fillId="0" borderId="0" xfId="0" applyAlignment="1">
      <alignment horizontal="left" vertical="top"/>
    </xf>
    <xf numFmtId="0" fontId="12" fillId="0" borderId="1" xfId="0" applyFont="1" applyBorder="1" applyAlignment="1">
      <alignment vertical="top" wrapText="1"/>
    </xf>
    <xf numFmtId="0" fontId="0" fillId="0" borderId="12" xfId="0" applyBorder="1" applyAlignment="1">
      <alignment horizontal="left" vertical="top"/>
    </xf>
    <xf numFmtId="0" fontId="11" fillId="0" borderId="17" xfId="0" applyFont="1" applyBorder="1" applyAlignment="1">
      <alignment vertical="top" wrapText="1"/>
    </xf>
    <xf numFmtId="0" fontId="11" fillId="0" borderId="16" xfId="0" applyFont="1" applyBorder="1" applyAlignment="1">
      <alignment vertical="top" wrapText="1"/>
    </xf>
    <xf numFmtId="0" fontId="11" fillId="0" borderId="9" xfId="0" applyFont="1" applyBorder="1" applyAlignment="1">
      <alignment vertical="top" wrapText="1"/>
    </xf>
    <xf numFmtId="0" fontId="11" fillId="0" borderId="1" xfId="0" applyFont="1" applyBorder="1" applyAlignment="1">
      <alignment vertical="top" wrapText="1"/>
    </xf>
    <xf numFmtId="49" fontId="12" fillId="0" borderId="1" xfId="0" applyNumberFormat="1" applyFont="1" applyBorder="1" applyAlignment="1">
      <alignment horizontal="left" vertical="top"/>
    </xf>
    <xf numFmtId="0" fontId="11" fillId="0" borderId="1" xfId="0" applyFont="1" applyBorder="1" applyAlignment="1">
      <alignment horizontal="left" vertical="top" wrapText="1"/>
    </xf>
    <xf numFmtId="0" fontId="11" fillId="0" borderId="1" xfId="0" applyFont="1" applyBorder="1" applyAlignment="1">
      <alignment wrapText="1"/>
    </xf>
    <xf numFmtId="0" fontId="12" fillId="0" borderId="1" xfId="0" applyFont="1" applyBorder="1" applyAlignment="1">
      <alignment wrapText="1"/>
    </xf>
    <xf numFmtId="0" fontId="12" fillId="0" borderId="1" xfId="0" applyFont="1" applyBorder="1" applyAlignment="1">
      <alignment wrapText="1" indent="4"/>
    </xf>
    <xf numFmtId="49" fontId="12" fillId="0" borderId="1" xfId="0" applyNumberFormat="1" applyFont="1" applyBorder="1"/>
    <xf numFmtId="49" fontId="12" fillId="0" borderId="10" xfId="0" applyNumberFormat="1" applyFont="1" applyBorder="1"/>
    <xf numFmtId="49" fontId="12" fillId="0" borderId="11" xfId="0" applyNumberFormat="1" applyFont="1" applyBorder="1"/>
    <xf numFmtId="49" fontId="12" fillId="0" borderId="3" xfId="0" applyNumberFormat="1" applyFont="1" applyBorder="1"/>
    <xf numFmtId="49" fontId="12" fillId="0" borderId="0" xfId="0" applyNumberFormat="1" applyFont="1" applyAlignment="1">
      <alignment horizontal="left"/>
    </xf>
    <xf numFmtId="0" fontId="11" fillId="0" borderId="1" xfId="0" applyFont="1" applyBorder="1" applyAlignment="1">
      <alignment wrapText="1" indent="2"/>
    </xf>
    <xf numFmtId="49" fontId="11" fillId="0" borderId="1" xfId="0" applyNumberFormat="1" applyFont="1" applyBorder="1" applyAlignment="1">
      <alignment horizontal="right"/>
    </xf>
    <xf numFmtId="168" fontId="0" fillId="0" borderId="0" xfId="5" applyNumberFormat="1" applyFont="1"/>
    <xf numFmtId="0" fontId="17" fillId="0" borderId="0" xfId="0" applyFont="1" applyAlignment="1">
      <alignment vertical="center"/>
    </xf>
    <xf numFmtId="0" fontId="0" fillId="0" borderId="0" xfId="0" applyAlignment="1">
      <alignment horizontal="left" vertical="center"/>
    </xf>
    <xf numFmtId="0" fontId="18" fillId="0" borderId="0" xfId="0" applyFont="1" applyAlignment="1">
      <alignment horizontal="left" vertical="center"/>
    </xf>
    <xf numFmtId="9" fontId="0" fillId="0" borderId="1" xfId="5" applyFont="1" applyBorder="1"/>
    <xf numFmtId="0" fontId="19" fillId="0" borderId="1" xfId="0" applyFont="1" applyBorder="1" applyAlignment="1">
      <alignment horizontal="left" vertical="center" wrapText="1"/>
    </xf>
    <xf numFmtId="164" fontId="19" fillId="0" borderId="1" xfId="0" applyNumberFormat="1" applyFont="1" applyBorder="1" applyAlignment="1">
      <alignment vertical="center" wrapText="1"/>
    </xf>
    <xf numFmtId="0" fontId="6" fillId="0" borderId="1" xfId="0" applyFont="1" applyBorder="1" applyAlignment="1">
      <alignment horizontal="center" vertical="center"/>
    </xf>
    <xf numFmtId="0" fontId="6" fillId="0" borderId="1" xfId="0" applyFont="1" applyBorder="1"/>
    <xf numFmtId="167" fontId="6" fillId="0" borderId="1" xfId="1" applyNumberFormat="1" applyFont="1" applyBorder="1"/>
    <xf numFmtId="164" fontId="6" fillId="0" borderId="1" xfId="0" applyNumberFormat="1" applyFont="1" applyBorder="1" applyAlignment="1">
      <alignment horizontal="center" vertical="center" wrapText="1"/>
    </xf>
    <xf numFmtId="168" fontId="6" fillId="0" borderId="1" xfId="5" applyNumberFormat="1" applyFont="1" applyBorder="1" applyAlignment="1">
      <alignment horizontal="center" vertical="center"/>
    </xf>
    <xf numFmtId="0" fontId="19" fillId="0" borderId="1" xfId="0" applyFont="1" applyBorder="1"/>
    <xf numFmtId="164" fontId="19" fillId="0" borderId="1" xfId="0" applyNumberFormat="1" applyFont="1" applyBorder="1"/>
    <xf numFmtId="0" fontId="20" fillId="0" borderId="1" xfId="0" applyFont="1" applyBorder="1"/>
    <xf numFmtId="164" fontId="20" fillId="0" borderId="1" xfId="0" applyNumberFormat="1" applyFont="1" applyBorder="1"/>
    <xf numFmtId="0" fontId="20" fillId="0" borderId="23" xfId="0" applyFont="1" applyBorder="1"/>
    <xf numFmtId="164" fontId="20" fillId="0" borderId="23" xfId="0" applyNumberFormat="1" applyFont="1" applyBorder="1"/>
    <xf numFmtId="0" fontId="19" fillId="0" borderId="8" xfId="0" applyFont="1" applyBorder="1"/>
    <xf numFmtId="164" fontId="19" fillId="0" borderId="8" xfId="0" applyNumberFormat="1" applyFont="1" applyBorder="1"/>
    <xf numFmtId="0" fontId="0" fillId="0" borderId="19" xfId="0" applyBorder="1"/>
    <xf numFmtId="9" fontId="19" fillId="0" borderId="1" xfId="5" applyFont="1" applyBorder="1"/>
    <xf numFmtId="9" fontId="1" fillId="0" borderId="1" xfId="5" applyFont="1" applyBorder="1"/>
    <xf numFmtId="164" fontId="19" fillId="0" borderId="23" xfId="0" applyNumberFormat="1" applyFont="1" applyBorder="1"/>
    <xf numFmtId="17" fontId="20" fillId="0" borderId="1" xfId="0" applyNumberFormat="1" applyFont="1" applyBorder="1"/>
    <xf numFmtId="9" fontId="20" fillId="0" borderId="1" xfId="5" applyFont="1" applyBorder="1"/>
    <xf numFmtId="0" fontId="0" fillId="12" borderId="7" xfId="0" applyFill="1" applyBorder="1"/>
    <xf numFmtId="164" fontId="19" fillId="12" borderId="1" xfId="0" applyNumberFormat="1" applyFont="1" applyFill="1" applyBorder="1" applyAlignment="1">
      <alignment vertical="center" wrapText="1"/>
    </xf>
    <xf numFmtId="9" fontId="19" fillId="12" borderId="1" xfId="0" applyNumberFormat="1" applyFont="1" applyFill="1" applyBorder="1" applyAlignment="1">
      <alignment vertical="center" wrapText="1"/>
    </xf>
    <xf numFmtId="9" fontId="6" fillId="12" borderId="1" xfId="5" applyFont="1" applyFill="1" applyBorder="1" applyAlignment="1">
      <alignment vertical="center" wrapText="1"/>
    </xf>
    <xf numFmtId="9" fontId="0" fillId="12" borderId="1" xfId="5" applyFont="1" applyFill="1" applyBorder="1"/>
    <xf numFmtId="0" fontId="0" fillId="0" borderId="0" xfId="0" applyAlignment="1">
      <alignment wrapText="1"/>
    </xf>
    <xf numFmtId="0" fontId="0" fillId="5" borderId="24" xfId="0" applyFill="1" applyBorder="1"/>
    <xf numFmtId="0" fontId="0" fillId="8" borderId="2" xfId="0" applyFill="1" applyBorder="1"/>
    <xf numFmtId="0" fontId="0" fillId="0" borderId="25" xfId="0" applyBorder="1"/>
    <xf numFmtId="164" fontId="0" fillId="0" borderId="0" xfId="0" applyNumberFormat="1"/>
    <xf numFmtId="0" fontId="18" fillId="0" borderId="0" xfId="0" applyFont="1" applyAlignment="1">
      <alignment vertical="center" wrapText="1"/>
    </xf>
    <xf numFmtId="164" fontId="18" fillId="0" borderId="0" xfId="0" applyNumberFormat="1" applyFont="1" applyAlignment="1">
      <alignment vertical="center" wrapText="1"/>
    </xf>
    <xf numFmtId="0" fontId="0" fillId="0" borderId="20" xfId="0" applyBorder="1" applyAlignment="1">
      <alignment horizontal="left"/>
    </xf>
    <xf numFmtId="0" fontId="19" fillId="0" borderId="1" xfId="0" applyFont="1" applyBorder="1" applyAlignment="1">
      <alignment vertical="center" wrapText="1"/>
    </xf>
    <xf numFmtId="9" fontId="19" fillId="12" borderId="1" xfId="0" applyNumberFormat="1" applyFont="1" applyFill="1" applyBorder="1" applyAlignment="1">
      <alignment vertical="center"/>
    </xf>
    <xf numFmtId="9" fontId="18" fillId="0" borderId="1" xfId="0" applyNumberFormat="1" applyFont="1" applyBorder="1" applyAlignment="1">
      <alignment vertical="center"/>
    </xf>
    <xf numFmtId="9" fontId="19" fillId="0" borderId="1" xfId="0" applyNumberFormat="1" applyFont="1" applyBorder="1" applyAlignment="1">
      <alignment vertical="center"/>
    </xf>
    <xf numFmtId="164" fontId="9" fillId="0" borderId="0" xfId="0" applyNumberFormat="1" applyFont="1"/>
    <xf numFmtId="6" fontId="0" fillId="10" borderId="1" xfId="0" applyNumberFormat="1" applyFill="1" applyBorder="1"/>
    <xf numFmtId="0" fontId="22" fillId="0" borderId="1" xfId="0" applyFont="1" applyBorder="1" applyAlignment="1">
      <alignment horizontal="right"/>
    </xf>
    <xf numFmtId="17" fontId="8" fillId="0" borderId="1" xfId="0" applyNumberFormat="1" applyFont="1" applyBorder="1"/>
    <xf numFmtId="0" fontId="8" fillId="0" borderId="1" xfId="0" applyFont="1" applyBorder="1"/>
    <xf numFmtId="0" fontId="8" fillId="0" borderId="0" xfId="0" applyFont="1"/>
    <xf numFmtId="0" fontId="6" fillId="0" borderId="4" xfId="0" applyFont="1" applyBorder="1"/>
    <xf numFmtId="165" fontId="6" fillId="0" borderId="1" xfId="1" applyNumberFormat="1" applyFont="1" applyBorder="1"/>
    <xf numFmtId="0" fontId="6" fillId="0" borderId="5" xfId="0" applyFont="1" applyBorder="1"/>
    <xf numFmtId="165" fontId="8" fillId="0" borderId="1" xfId="0" applyNumberFormat="1" applyFont="1" applyBorder="1"/>
    <xf numFmtId="165" fontId="6" fillId="0" borderId="1" xfId="0" applyNumberFormat="1" applyFont="1" applyBorder="1"/>
    <xf numFmtId="0" fontId="22" fillId="0" borderId="4" xfId="0" applyFont="1" applyBorder="1" applyAlignment="1">
      <alignment horizontal="right"/>
    </xf>
    <xf numFmtId="165" fontId="8" fillId="0" borderId="4" xfId="0" applyNumberFormat="1" applyFont="1" applyBorder="1"/>
    <xf numFmtId="0" fontId="6" fillId="0" borderId="20" xfId="0" applyFont="1" applyBorder="1"/>
    <xf numFmtId="0" fontId="8" fillId="0" borderId="34" xfId="0" applyFont="1" applyBorder="1"/>
    <xf numFmtId="165" fontId="8" fillId="0" borderId="35" xfId="0" applyNumberFormat="1" applyFont="1" applyBorder="1"/>
    <xf numFmtId="165" fontId="8" fillId="0" borderId="36" xfId="0" applyNumberFormat="1" applyFont="1" applyBorder="1"/>
    <xf numFmtId="0" fontId="6" fillId="0" borderId="9" xfId="0" applyFont="1" applyBorder="1"/>
    <xf numFmtId="165" fontId="6" fillId="0" borderId="9" xfId="0" applyNumberFormat="1" applyFont="1" applyBorder="1"/>
    <xf numFmtId="165" fontId="6" fillId="0" borderId="4" xfId="0" applyNumberFormat="1" applyFont="1" applyBorder="1"/>
    <xf numFmtId="165" fontId="6" fillId="0" borderId="5" xfId="0" applyNumberFormat="1" applyFont="1" applyBorder="1"/>
    <xf numFmtId="0" fontId="6" fillId="0" borderId="16" xfId="0" applyFont="1" applyBorder="1"/>
    <xf numFmtId="3" fontId="0" fillId="0" borderId="1" xfId="0" applyNumberFormat="1" applyBorder="1"/>
    <xf numFmtId="3" fontId="0" fillId="0" borderId="0" xfId="0" applyNumberFormat="1"/>
    <xf numFmtId="0" fontId="6" fillId="6" borderId="4" xfId="0" applyFont="1" applyFill="1" applyBorder="1"/>
    <xf numFmtId="0" fontId="23" fillId="0" borderId="1" xfId="0" applyFont="1" applyBorder="1"/>
    <xf numFmtId="6" fontId="1" fillId="0" borderId="1" xfId="0" applyNumberFormat="1" applyFont="1" applyBorder="1"/>
    <xf numFmtId="9" fontId="0" fillId="10" borderId="1" xfId="0" applyNumberFormat="1" applyFill="1" applyBorder="1"/>
    <xf numFmtId="0" fontId="1" fillId="0" borderId="1" xfId="0" applyFont="1" applyBorder="1" applyAlignment="1">
      <alignment horizontal="right"/>
    </xf>
    <xf numFmtId="0" fontId="0" fillId="0" borderId="1" xfId="0" applyBorder="1" applyAlignment="1">
      <alignment horizontal="right"/>
    </xf>
    <xf numFmtId="8" fontId="0" fillId="0" borderId="1" xfId="0" applyNumberFormat="1" applyBorder="1" applyAlignment="1">
      <alignment horizontal="right"/>
    </xf>
    <xf numFmtId="9" fontId="0" fillId="0" borderId="1" xfId="0" applyNumberFormat="1" applyBorder="1" applyAlignment="1">
      <alignment horizontal="right"/>
    </xf>
    <xf numFmtId="0" fontId="0" fillId="10" borderId="1" xfId="0" applyFill="1" applyBorder="1"/>
    <xf numFmtId="0" fontId="24" fillId="0" borderId="1" xfId="0" applyFont="1" applyBorder="1"/>
    <xf numFmtId="10" fontId="24" fillId="12" borderId="1" xfId="0" applyNumberFormat="1" applyFont="1" applyFill="1" applyBorder="1"/>
    <xf numFmtId="0" fontId="24" fillId="0" borderId="0" xfId="0" applyFont="1"/>
    <xf numFmtId="0" fontId="25" fillId="0" borderId="0" xfId="0" applyFont="1"/>
    <xf numFmtId="10" fontId="24" fillId="12" borderId="1" xfId="5" applyNumberFormat="1" applyFont="1" applyFill="1" applyBorder="1"/>
    <xf numFmtId="10" fontId="24" fillId="0" borderId="1" xfId="5" applyNumberFormat="1" applyFont="1" applyBorder="1"/>
    <xf numFmtId="167" fontId="24" fillId="12" borderId="1" xfId="1" applyNumberFormat="1" applyFont="1" applyFill="1" applyBorder="1"/>
    <xf numFmtId="0" fontId="24" fillId="12" borderId="1" xfId="0" applyFont="1" applyFill="1" applyBorder="1"/>
    <xf numFmtId="6" fontId="24" fillId="0" borderId="1" xfId="0" applyNumberFormat="1" applyFont="1" applyBorder="1"/>
    <xf numFmtId="0" fontId="25" fillId="0" borderId="1" xfId="0" applyFont="1" applyBorder="1"/>
    <xf numFmtId="0" fontId="24" fillId="0" borderId="1" xfId="0" applyFont="1" applyBorder="1" applyAlignment="1">
      <alignment horizontal="center"/>
    </xf>
    <xf numFmtId="44" fontId="24" fillId="0" borderId="1" xfId="1" applyFont="1" applyBorder="1"/>
    <xf numFmtId="165" fontId="26" fillId="0" borderId="1" xfId="1" applyNumberFormat="1" applyFont="1" applyBorder="1"/>
    <xf numFmtId="167" fontId="25" fillId="0" borderId="1" xfId="0" applyNumberFormat="1" applyFont="1" applyBorder="1"/>
    <xf numFmtId="167" fontId="24" fillId="0" borderId="0" xfId="0" applyNumberFormat="1" applyFont="1"/>
    <xf numFmtId="1" fontId="24" fillId="0" borderId="1" xfId="0" applyNumberFormat="1" applyFont="1" applyBorder="1"/>
    <xf numFmtId="165" fontId="26" fillId="0" borderId="10" xfId="1" applyNumberFormat="1" applyFont="1" applyBorder="1"/>
    <xf numFmtId="0" fontId="27" fillId="0" borderId="1" xfId="0" applyFont="1" applyBorder="1"/>
    <xf numFmtId="165" fontId="26" fillId="0" borderId="0" xfId="1" applyNumberFormat="1" applyFont="1"/>
    <xf numFmtId="167" fontId="27" fillId="0" borderId="1" xfId="0" applyNumberFormat="1" applyFont="1" applyBorder="1"/>
    <xf numFmtId="17" fontId="8" fillId="0" borderId="1" xfId="0" applyNumberFormat="1" applyFont="1" applyBorder="1" applyAlignment="1">
      <alignment horizontal="center" vertical="center"/>
    </xf>
    <xf numFmtId="17" fontId="1" fillId="0" borderId="0" xfId="0" applyNumberFormat="1" applyFont="1"/>
    <xf numFmtId="0" fontId="8" fillId="0" borderId="1" xfId="0" applyFont="1" applyBorder="1" applyAlignment="1">
      <alignment horizontal="center"/>
    </xf>
    <xf numFmtId="0" fontId="0" fillId="0" borderId="21" xfId="0" applyBorder="1"/>
    <xf numFmtId="0" fontId="0" fillId="15" borderId="37" xfId="0" applyFill="1" applyBorder="1"/>
    <xf numFmtId="0" fontId="0" fillId="0" borderId="38" xfId="0" applyBorder="1"/>
    <xf numFmtId="165" fontId="1" fillId="0" borderId="1" xfId="1" applyNumberFormat="1" applyFont="1" applyBorder="1"/>
    <xf numFmtId="0" fontId="29" fillId="0" borderId="1" xfId="0" applyFont="1" applyBorder="1"/>
    <xf numFmtId="0" fontId="0" fillId="0" borderId="1" xfId="0" applyBorder="1" applyAlignment="1">
      <alignment horizontal="center" vertical="center" wrapText="1"/>
    </xf>
    <xf numFmtId="6" fontId="0" fillId="12" borderId="1" xfId="0" applyNumberFormat="1" applyFill="1" applyBorder="1"/>
    <xf numFmtId="0" fontId="1" fillId="0" borderId="17" xfId="0" applyFont="1" applyBorder="1" applyAlignment="1">
      <alignment horizontal="center"/>
    </xf>
    <xf numFmtId="0" fontId="30" fillId="0" borderId="0" xfId="0" applyFont="1" applyAlignment="1">
      <alignment wrapText="1"/>
    </xf>
    <xf numFmtId="0" fontId="0" fillId="0" borderId="9" xfId="0" applyBorder="1"/>
    <xf numFmtId="6" fontId="0" fillId="6" borderId="1" xfId="0" applyNumberFormat="1" applyFill="1" applyBorder="1"/>
    <xf numFmtId="0" fontId="23" fillId="0" borderId="34" xfId="0" applyFont="1" applyBorder="1" applyAlignment="1">
      <alignment horizontal="right"/>
    </xf>
    <xf numFmtId="0" fontId="23" fillId="0" borderId="39" xfId="0" applyFont="1" applyBorder="1" applyAlignment="1">
      <alignment horizontal="right"/>
    </xf>
    <xf numFmtId="0" fontId="8" fillId="0" borderId="42" xfId="0" applyFont="1" applyBorder="1"/>
    <xf numFmtId="165" fontId="6" fillId="0" borderId="43" xfId="0" applyNumberFormat="1" applyFont="1" applyBorder="1"/>
    <xf numFmtId="165" fontId="6" fillId="0" borderId="44" xfId="0" applyNumberFormat="1" applyFont="1" applyBorder="1"/>
    <xf numFmtId="0" fontId="23" fillId="0" borderId="42" xfId="0" applyFont="1" applyBorder="1" applyAlignment="1">
      <alignment horizontal="right"/>
    </xf>
    <xf numFmtId="0" fontId="6" fillId="0" borderId="3" xfId="0" applyFont="1" applyBorder="1"/>
    <xf numFmtId="0" fontId="8" fillId="0" borderId="17" xfId="0" applyFont="1" applyBorder="1" applyAlignment="1">
      <alignment horizontal="center"/>
    </xf>
    <xf numFmtId="165" fontId="0" fillId="0" borderId="1" xfId="0" applyNumberFormat="1" applyBorder="1"/>
    <xf numFmtId="165" fontId="0" fillId="12" borderId="1" xfId="0" applyNumberFormat="1" applyFill="1" applyBorder="1"/>
    <xf numFmtId="165" fontId="0" fillId="0" borderId="4" xfId="0" applyNumberFormat="1" applyBorder="1"/>
    <xf numFmtId="165" fontId="0" fillId="0" borderId="35" xfId="0" applyNumberFormat="1" applyBorder="1"/>
    <xf numFmtId="165" fontId="0" fillId="0" borderId="9" xfId="0" applyNumberFormat="1" applyBorder="1"/>
    <xf numFmtId="165" fontId="0" fillId="0" borderId="40" xfId="0" applyNumberFormat="1" applyBorder="1"/>
    <xf numFmtId="165" fontId="0" fillId="0" borderId="43" xfId="0" applyNumberFormat="1" applyBorder="1"/>
    <xf numFmtId="165" fontId="0" fillId="0" borderId="36" xfId="0" applyNumberFormat="1" applyBorder="1"/>
    <xf numFmtId="165" fontId="0" fillId="0" borderId="41" xfId="0" applyNumberFormat="1" applyBorder="1"/>
    <xf numFmtId="165" fontId="0" fillId="0" borderId="44" xfId="0" applyNumberFormat="1" applyBorder="1"/>
    <xf numFmtId="0" fontId="31" fillId="5" borderId="1" xfId="0" applyFont="1" applyFill="1" applyBorder="1" applyAlignment="1">
      <alignment horizontal="right"/>
    </xf>
    <xf numFmtId="165" fontId="31" fillId="5" borderId="1" xfId="0" applyNumberFormat="1" applyFont="1" applyFill="1" applyBorder="1"/>
    <xf numFmtId="165" fontId="22" fillId="5" borderId="1" xfId="0" applyNumberFormat="1" applyFont="1" applyFill="1" applyBorder="1"/>
    <xf numFmtId="0" fontId="1" fillId="0" borderId="34" xfId="0" applyFont="1" applyBorder="1"/>
    <xf numFmtId="0" fontId="1" fillId="0" borderId="36" xfId="0" applyFont="1" applyBorder="1"/>
    <xf numFmtId="0" fontId="1" fillId="0" borderId="5" xfId="0" applyFont="1" applyBorder="1"/>
    <xf numFmtId="0" fontId="1" fillId="0" borderId="2" xfId="0" applyFont="1" applyBorder="1"/>
    <xf numFmtId="165" fontId="1" fillId="0" borderId="35" xfId="0" applyNumberFormat="1" applyFont="1" applyBorder="1"/>
    <xf numFmtId="165" fontId="1" fillId="0" borderId="5" xfId="0" applyNumberFormat="1" applyFont="1" applyBorder="1"/>
    <xf numFmtId="165" fontId="0" fillId="0" borderId="3" xfId="0" applyNumberFormat="1" applyBorder="1"/>
    <xf numFmtId="165" fontId="0" fillId="0" borderId="1" xfId="0" applyNumberFormat="1" applyBorder="1" applyAlignment="1">
      <alignment horizontal="left"/>
    </xf>
    <xf numFmtId="165" fontId="0" fillId="0" borderId="5" xfId="0" applyNumberFormat="1" applyBorder="1"/>
    <xf numFmtId="169" fontId="0" fillId="0" borderId="1" xfId="0" applyNumberFormat="1" applyBorder="1"/>
    <xf numFmtId="169" fontId="0" fillId="0" borderId="4" xfId="0" applyNumberFormat="1" applyBorder="1"/>
    <xf numFmtId="169" fontId="1" fillId="0" borderId="35" xfId="0" applyNumberFormat="1" applyFont="1" applyBorder="1"/>
    <xf numFmtId="169" fontId="0" fillId="0" borderId="9" xfId="0" applyNumberFormat="1" applyBorder="1"/>
    <xf numFmtId="169" fontId="1" fillId="0" borderId="5" xfId="0" applyNumberFormat="1" applyFont="1" applyBorder="1"/>
    <xf numFmtId="169" fontId="0" fillId="0" borderId="5" xfId="0" applyNumberFormat="1" applyBorder="1"/>
    <xf numFmtId="0" fontId="6" fillId="0" borderId="22" xfId="0" applyFont="1" applyBorder="1"/>
    <xf numFmtId="0" fontId="8" fillId="0" borderId="8" xfId="0" applyFont="1" applyBorder="1"/>
    <xf numFmtId="165" fontId="8" fillId="0" borderId="8" xfId="0" applyNumberFormat="1" applyFont="1" applyBorder="1"/>
    <xf numFmtId="165" fontId="6" fillId="0" borderId="22" xfId="0" applyNumberFormat="1" applyFont="1" applyBorder="1"/>
    <xf numFmtId="0" fontId="8" fillId="0" borderId="9" xfId="0" applyFont="1" applyBorder="1"/>
    <xf numFmtId="165" fontId="6" fillId="0" borderId="0" xfId="0" applyNumberFormat="1" applyFont="1"/>
    <xf numFmtId="0" fontId="6" fillId="0" borderId="17" xfId="0" applyFont="1" applyBorder="1"/>
    <xf numFmtId="9" fontId="19" fillId="6" borderId="1" xfId="0" applyNumberFormat="1" applyFont="1" applyFill="1" applyBorder="1" applyAlignment="1">
      <alignment vertical="center"/>
    </xf>
    <xf numFmtId="9" fontId="20" fillId="6" borderId="1" xfId="0" applyNumberFormat="1" applyFont="1" applyFill="1" applyBorder="1" applyAlignment="1">
      <alignment vertical="center"/>
    </xf>
    <xf numFmtId="165" fontId="0" fillId="6" borderId="1" xfId="1" applyNumberFormat="1" applyFont="1" applyFill="1" applyBorder="1"/>
    <xf numFmtId="0" fontId="1" fillId="0" borderId="9" xfId="0" applyFont="1" applyBorder="1"/>
    <xf numFmtId="6" fontId="1" fillId="0" borderId="9" xfId="0" applyNumberFormat="1" applyFont="1" applyBorder="1"/>
    <xf numFmtId="6" fontId="1" fillId="0" borderId="9" xfId="0" applyNumberFormat="1" applyFont="1" applyBorder="1" applyAlignment="1">
      <alignment horizontal="right"/>
    </xf>
    <xf numFmtId="0" fontId="29" fillId="0" borderId="8" xfId="0" applyFont="1" applyBorder="1"/>
    <xf numFmtId="165" fontId="0" fillId="6" borderId="8" xfId="1" applyNumberFormat="1" applyFont="1" applyFill="1" applyBorder="1"/>
    <xf numFmtId="165" fontId="1" fillId="0" borderId="8" xfId="1" applyNumberFormat="1" applyFont="1" applyBorder="1"/>
    <xf numFmtId="6" fontId="0" fillId="12" borderId="8" xfId="0" applyNumberFormat="1" applyFill="1" applyBorder="1"/>
    <xf numFmtId="0" fontId="0" fillId="0" borderId="8" xfId="0" applyBorder="1"/>
    <xf numFmtId="170" fontId="0" fillId="0" borderId="1" xfId="1" applyNumberFormat="1" applyFont="1" applyBorder="1"/>
    <xf numFmtId="0" fontId="34" fillId="11" borderId="1" xfId="0" applyFont="1" applyFill="1" applyBorder="1" applyAlignment="1">
      <alignment horizontal="center" vertical="center"/>
    </xf>
    <xf numFmtId="0" fontId="35" fillId="16" borderId="20" xfId="6" applyFont="1" applyBorder="1" applyAlignment="1"/>
    <xf numFmtId="0" fontId="35" fillId="0" borderId="4" xfId="6" applyFont="1" applyFill="1" applyBorder="1" applyAlignment="1"/>
    <xf numFmtId="0" fontId="21" fillId="0" borderId="1" xfId="0" applyFont="1" applyBorder="1"/>
    <xf numFmtId="0" fontId="21" fillId="0" borderId="20" xfId="0" applyFont="1" applyBorder="1"/>
    <xf numFmtId="0" fontId="21" fillId="0" borderId="5" xfId="0" applyFont="1" applyBorder="1"/>
    <xf numFmtId="0" fontId="36" fillId="0" borderId="20" xfId="0" applyFont="1" applyBorder="1"/>
    <xf numFmtId="0" fontId="36" fillId="0" borderId="5" xfId="0" applyFont="1" applyBorder="1"/>
    <xf numFmtId="0" fontId="21" fillId="0" borderId="8" xfId="0" applyFont="1" applyBorder="1"/>
    <xf numFmtId="0" fontId="37" fillId="16" borderId="20" xfId="6" applyFont="1" applyBorder="1" applyAlignment="1"/>
    <xf numFmtId="0" fontId="37" fillId="0" borderId="5" xfId="6" applyFont="1" applyFill="1" applyBorder="1" applyAlignment="1"/>
    <xf numFmtId="0" fontId="21" fillId="18" borderId="23" xfId="0" applyFont="1" applyFill="1" applyBorder="1"/>
    <xf numFmtId="0" fontId="38" fillId="17" borderId="20" xfId="7" applyFont="1" applyBorder="1" applyAlignment="1"/>
    <xf numFmtId="0" fontId="38" fillId="0" borderId="5" xfId="7" applyFont="1" applyFill="1" applyBorder="1" applyAlignment="1"/>
    <xf numFmtId="0" fontId="21" fillId="0" borderId="23" xfId="0" applyFont="1" applyBorder="1"/>
    <xf numFmtId="0" fontId="36" fillId="0" borderId="16" xfId="0" applyFont="1" applyBorder="1"/>
    <xf numFmtId="0" fontId="21" fillId="18" borderId="9" xfId="0" applyFont="1" applyFill="1" applyBorder="1"/>
    <xf numFmtId="6" fontId="0" fillId="0" borderId="0" xfId="0" applyNumberFormat="1"/>
    <xf numFmtId="0" fontId="43" fillId="11" borderId="1" xfId="0" applyFont="1" applyFill="1" applyBorder="1" applyAlignment="1">
      <alignment horizontal="center"/>
    </xf>
    <xf numFmtId="0" fontId="40" fillId="16" borderId="1" xfId="6" applyFont="1" applyBorder="1"/>
    <xf numFmtId="0" fontId="43" fillId="0" borderId="1" xfId="0" applyFont="1" applyBorder="1"/>
    <xf numFmtId="6" fontId="43" fillId="0" borderId="1" xfId="0" applyNumberFormat="1" applyFont="1" applyBorder="1"/>
    <xf numFmtId="0" fontId="44" fillId="0" borderId="1" xfId="0" applyFont="1" applyBorder="1"/>
    <xf numFmtId="6" fontId="44" fillId="0" borderId="1" xfId="0" applyNumberFormat="1" applyFont="1" applyBorder="1"/>
    <xf numFmtId="0" fontId="43" fillId="0" borderId="8" xfId="0" applyFont="1" applyBorder="1"/>
    <xf numFmtId="6" fontId="43" fillId="0" borderId="8" xfId="0" applyNumberFormat="1" applyFont="1" applyBorder="1"/>
    <xf numFmtId="0" fontId="41" fillId="17" borderId="9" xfId="7" applyFont="1" applyBorder="1"/>
    <xf numFmtId="0" fontId="44" fillId="0" borderId="9" xfId="0" applyFont="1" applyBorder="1"/>
    <xf numFmtId="6" fontId="44" fillId="0" borderId="9" xfId="0" applyNumberFormat="1" applyFont="1" applyBorder="1"/>
    <xf numFmtId="0" fontId="42" fillId="16" borderId="9" xfId="6" applyFont="1" applyBorder="1"/>
    <xf numFmtId="0" fontId="43" fillId="0" borderId="4" xfId="0" applyFont="1" applyBorder="1"/>
    <xf numFmtId="6" fontId="43" fillId="0" borderId="4" xfId="0" applyNumberFormat="1" applyFont="1" applyBorder="1"/>
    <xf numFmtId="0" fontId="6" fillId="0" borderId="0" xfId="0" applyFont="1" applyAlignment="1">
      <alignment vertical="top" wrapText="1"/>
    </xf>
    <xf numFmtId="165" fontId="21" fillId="0" borderId="3" xfId="0" applyNumberFormat="1" applyFont="1" applyBorder="1"/>
    <xf numFmtId="165" fontId="21" fillId="0" borderId="1" xfId="0" applyNumberFormat="1" applyFont="1" applyBorder="1"/>
    <xf numFmtId="165" fontId="36" fillId="0" borderId="3" xfId="0" applyNumberFormat="1" applyFont="1" applyBorder="1"/>
    <xf numFmtId="165" fontId="36" fillId="0" borderId="1" xfId="0" applyNumberFormat="1" applyFont="1" applyBorder="1"/>
    <xf numFmtId="165" fontId="36" fillId="0" borderId="19" xfId="0" applyNumberFormat="1" applyFont="1" applyBorder="1"/>
    <xf numFmtId="165" fontId="36" fillId="0" borderId="4" xfId="0" applyNumberFormat="1" applyFont="1" applyBorder="1"/>
    <xf numFmtId="165" fontId="21" fillId="0" borderId="45" xfId="0" applyNumberFormat="1" applyFont="1" applyBorder="1"/>
    <xf numFmtId="165" fontId="21" fillId="0" borderId="8" xfId="0" applyNumberFormat="1" applyFont="1" applyBorder="1"/>
    <xf numFmtId="165" fontId="36" fillId="0" borderId="17" xfId="0" applyNumberFormat="1" applyFont="1" applyBorder="1"/>
    <xf numFmtId="165" fontId="36" fillId="0" borderId="9" xfId="0" applyNumberFormat="1" applyFont="1" applyBorder="1"/>
    <xf numFmtId="165" fontId="21" fillId="18" borderId="23" xfId="0" applyNumberFormat="1" applyFont="1" applyFill="1" applyBorder="1"/>
    <xf numFmtId="165" fontId="21" fillId="0" borderId="4" xfId="0" applyNumberFormat="1" applyFont="1" applyBorder="1"/>
    <xf numFmtId="0" fontId="0" fillId="14" borderId="24" xfId="0" applyFill="1" applyBorder="1"/>
    <xf numFmtId="0" fontId="0" fillId="4" borderId="46" xfId="0" applyFill="1" applyBorder="1"/>
    <xf numFmtId="0" fontId="0" fillId="20" borderId="6" xfId="0" applyFill="1" applyBorder="1"/>
    <xf numFmtId="0" fontId="0" fillId="20" borderId="47" xfId="0" applyFill="1" applyBorder="1"/>
    <xf numFmtId="170" fontId="0" fillId="0" borderId="0" xfId="0" applyNumberFormat="1"/>
    <xf numFmtId="0" fontId="0" fillId="0" borderId="48" xfId="0" applyBorder="1"/>
    <xf numFmtId="165" fontId="0" fillId="0" borderId="48" xfId="0" applyNumberFormat="1" applyBorder="1"/>
    <xf numFmtId="170" fontId="0" fillId="10" borderId="1" xfId="1" applyNumberFormat="1" applyFont="1" applyFill="1" applyBorder="1"/>
    <xf numFmtId="17" fontId="25" fillId="0" borderId="1" xfId="0" applyNumberFormat="1" applyFont="1" applyBorder="1"/>
    <xf numFmtId="0" fontId="25" fillId="0" borderId="9" xfId="0" applyFont="1" applyBorder="1"/>
    <xf numFmtId="165" fontId="26" fillId="0" borderId="9" xfId="1" applyNumberFormat="1" applyFont="1" applyBorder="1"/>
    <xf numFmtId="165" fontId="26" fillId="0" borderId="9" xfId="0" applyNumberFormat="1" applyFont="1" applyBorder="1"/>
    <xf numFmtId="0" fontId="24" fillId="0" borderId="8" xfId="0" applyFont="1" applyBorder="1"/>
    <xf numFmtId="165" fontId="26" fillId="0" borderId="8" xfId="1" applyNumberFormat="1" applyFont="1" applyBorder="1"/>
    <xf numFmtId="167" fontId="25" fillId="0" borderId="8" xfId="0" applyNumberFormat="1" applyFont="1" applyBorder="1"/>
    <xf numFmtId="165" fontId="26" fillId="0" borderId="16" xfId="1" applyNumberFormat="1" applyFont="1" applyBorder="1"/>
    <xf numFmtId="165" fontId="24" fillId="6" borderId="9" xfId="1" applyNumberFormat="1" applyFont="1" applyFill="1" applyBorder="1"/>
    <xf numFmtId="0" fontId="27" fillId="0" borderId="9" xfId="0" applyFont="1" applyBorder="1"/>
    <xf numFmtId="165" fontId="26" fillId="0" borderId="49" xfId="1" applyNumberFormat="1" applyFont="1" applyBorder="1"/>
    <xf numFmtId="167" fontId="27" fillId="0" borderId="8" xfId="0" applyNumberFormat="1" applyFont="1" applyBorder="1"/>
    <xf numFmtId="0" fontId="0" fillId="0" borderId="50" xfId="0" applyBorder="1"/>
    <xf numFmtId="17" fontId="1" fillId="0" borderId="1" xfId="0" applyNumberFormat="1" applyFont="1" applyBorder="1"/>
    <xf numFmtId="6" fontId="0" fillId="12" borderId="0" xfId="0" applyNumberFormat="1" applyFill="1"/>
    <xf numFmtId="165" fontId="8" fillId="0" borderId="44" xfId="0" applyNumberFormat="1" applyFont="1" applyBorder="1"/>
    <xf numFmtId="0" fontId="16" fillId="14" borderId="1" xfId="0" applyFont="1" applyFill="1" applyBorder="1" applyAlignment="1">
      <alignment horizontal="center"/>
    </xf>
    <xf numFmtId="0" fontId="34" fillId="20" borderId="10" xfId="0" applyFont="1" applyFill="1" applyBorder="1" applyAlignment="1">
      <alignment horizontal="center"/>
    </xf>
    <xf numFmtId="0" fontId="34" fillId="20" borderId="11" xfId="0" applyFont="1" applyFill="1" applyBorder="1" applyAlignment="1">
      <alignment horizontal="center"/>
    </xf>
    <xf numFmtId="0" fontId="34" fillId="20" borderId="3" xfId="0" applyFont="1" applyFill="1" applyBorder="1" applyAlignment="1">
      <alignment horizontal="center"/>
    </xf>
    <xf numFmtId="0" fontId="6" fillId="0" borderId="1" xfId="0" applyFont="1" applyBorder="1" applyAlignment="1">
      <alignment horizontal="left" vertical="top" wrapText="1"/>
    </xf>
    <xf numFmtId="0" fontId="34" fillId="20" borderId="1" xfId="0" applyFont="1" applyFill="1" applyBorder="1" applyAlignment="1">
      <alignment horizontal="center"/>
    </xf>
    <xf numFmtId="0" fontId="34" fillId="11" borderId="12" xfId="0" applyFont="1" applyFill="1" applyBorder="1" applyAlignment="1">
      <alignment horizontal="center" vertical="center"/>
    </xf>
    <xf numFmtId="0" fontId="34" fillId="11" borderId="19" xfId="0" applyFont="1" applyFill="1" applyBorder="1" applyAlignment="1">
      <alignment horizontal="center" vertical="center"/>
    </xf>
    <xf numFmtId="0" fontId="0" fillId="0" borderId="1" xfId="0" applyBorder="1" applyAlignment="1">
      <alignment horizontal="left" vertical="top" wrapText="1"/>
    </xf>
    <xf numFmtId="0" fontId="34" fillId="19" borderId="1" xfId="0" applyFont="1" applyFill="1" applyBorder="1" applyAlignment="1">
      <alignment horizontal="center" vertical="top" wrapText="1"/>
    </xf>
    <xf numFmtId="0" fontId="39" fillId="12" borderId="1" xfId="0" applyFont="1" applyFill="1" applyBorder="1" applyAlignment="1">
      <alignment horizontal="left" vertical="center" wrapText="1"/>
    </xf>
    <xf numFmtId="0" fontId="8" fillId="4" borderId="27" xfId="0" applyFont="1" applyFill="1" applyBorder="1" applyAlignment="1">
      <alignment horizontal="center"/>
    </xf>
    <xf numFmtId="0" fontId="8" fillId="4" borderId="28" xfId="0" applyFont="1" applyFill="1" applyBorder="1" applyAlignment="1">
      <alignment horizontal="center"/>
    </xf>
    <xf numFmtId="0" fontId="8" fillId="4" borderId="29" xfId="0" applyFont="1" applyFill="1" applyBorder="1" applyAlignment="1">
      <alignment horizontal="center"/>
    </xf>
    <xf numFmtId="0" fontId="8" fillId="4" borderId="30" xfId="0" applyFont="1" applyFill="1" applyBorder="1" applyAlignment="1">
      <alignment horizontal="center"/>
    </xf>
    <xf numFmtId="0" fontId="8" fillId="4" borderId="31" xfId="0" applyFont="1" applyFill="1" applyBorder="1" applyAlignment="1">
      <alignment horizontal="center"/>
    </xf>
    <xf numFmtId="0" fontId="8" fillId="4" borderId="32" xfId="0" applyFont="1" applyFill="1" applyBorder="1" applyAlignment="1">
      <alignment horizontal="center"/>
    </xf>
    <xf numFmtId="0" fontId="8" fillId="14" borderId="31" xfId="0" applyFont="1" applyFill="1" applyBorder="1" applyAlignment="1">
      <alignment horizontal="center"/>
    </xf>
    <xf numFmtId="0" fontId="8" fillId="4" borderId="26" xfId="0" applyFont="1" applyFill="1" applyBorder="1" applyAlignment="1">
      <alignment horizontal="center"/>
    </xf>
    <xf numFmtId="0" fontId="8" fillId="4" borderId="0" xfId="0" applyFont="1" applyFill="1" applyAlignment="1">
      <alignment horizontal="center"/>
    </xf>
    <xf numFmtId="0" fontId="8" fillId="4" borderId="33" xfId="0" applyFont="1" applyFill="1" applyBorder="1" applyAlignment="1">
      <alignment horizontal="center"/>
    </xf>
    <xf numFmtId="0" fontId="8" fillId="14" borderId="0" xfId="0" applyFont="1" applyFill="1" applyAlignment="1">
      <alignment horizontal="center"/>
    </xf>
    <xf numFmtId="0" fontId="1" fillId="0" borderId="1" xfId="0" applyFont="1" applyBorder="1" applyAlignment="1">
      <alignment horizontal="center"/>
    </xf>
    <xf numFmtId="0" fontId="8" fillId="4" borderId="13" xfId="0" applyFont="1" applyFill="1" applyBorder="1" applyAlignment="1">
      <alignment horizontal="center"/>
    </xf>
    <xf numFmtId="0" fontId="8" fillId="4" borderId="14" xfId="0" applyFont="1" applyFill="1" applyBorder="1" applyAlignment="1">
      <alignment horizontal="center"/>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26" xfId="0" applyBorder="1" applyAlignment="1">
      <alignment horizontal="left" vertical="top" wrapText="1"/>
    </xf>
    <xf numFmtId="0" fontId="0" fillId="0" borderId="0" xfId="0" applyAlignment="1">
      <alignment horizontal="left" vertical="top" wrapText="1"/>
    </xf>
    <xf numFmtId="0" fontId="0" fillId="0" borderId="33"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1" fillId="0" borderId="12"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16" xfId="0" applyFont="1" applyBorder="1" applyAlignment="1">
      <alignment horizontal="center"/>
    </xf>
    <xf numFmtId="0" fontId="1" fillId="0" borderId="22" xfId="0" applyFont="1" applyBorder="1" applyAlignment="1">
      <alignment horizontal="center"/>
    </xf>
    <xf numFmtId="0" fontId="1" fillId="0" borderId="17" xfId="0" applyFont="1" applyBorder="1" applyAlignment="1">
      <alignment horizontal="center"/>
    </xf>
    <xf numFmtId="0" fontId="10" fillId="2" borderId="10" xfId="0" applyFont="1" applyFill="1" applyBorder="1" applyAlignment="1">
      <alignment horizontal="center"/>
    </xf>
    <xf numFmtId="0" fontId="10" fillId="2" borderId="11" xfId="0" applyFont="1" applyFill="1" applyBorder="1" applyAlignment="1">
      <alignment horizontal="center"/>
    </xf>
    <xf numFmtId="0" fontId="10" fillId="2" borderId="3" xfId="0" applyFont="1" applyFill="1" applyBorder="1" applyAlignment="1">
      <alignment horizontal="center"/>
    </xf>
    <xf numFmtId="0" fontId="8" fillId="7" borderId="10" xfId="0" applyFont="1" applyFill="1" applyBorder="1" applyAlignment="1">
      <alignment horizontal="center"/>
    </xf>
    <xf numFmtId="0" fontId="8" fillId="7" borderId="11" xfId="0" applyFont="1" applyFill="1" applyBorder="1" applyAlignment="1">
      <alignment horizontal="center"/>
    </xf>
    <xf numFmtId="0" fontId="8" fillId="7" borderId="3" xfId="0" applyFont="1" applyFill="1" applyBorder="1" applyAlignment="1">
      <alignment horizontal="center"/>
    </xf>
    <xf numFmtId="0" fontId="8" fillId="3" borderId="10" xfId="0" applyFont="1" applyFill="1" applyBorder="1" applyAlignment="1">
      <alignment horizontal="center" vertical="top"/>
    </xf>
    <xf numFmtId="0" fontId="8" fillId="3" borderId="11" xfId="0" applyFont="1" applyFill="1" applyBorder="1" applyAlignment="1">
      <alignment horizontal="center" vertical="top"/>
    </xf>
    <xf numFmtId="0" fontId="8" fillId="3" borderId="3" xfId="0" applyFont="1" applyFill="1" applyBorder="1" applyAlignment="1">
      <alignment horizontal="center" vertical="top"/>
    </xf>
    <xf numFmtId="0" fontId="6" fillId="0" borderId="10"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vertical="center" wrapText="1"/>
    </xf>
    <xf numFmtId="0" fontId="6" fillId="0" borderId="9" xfId="0" applyFont="1" applyBorder="1" applyAlignment="1">
      <alignment horizontal="center" vertical="center" wrapText="1"/>
    </xf>
    <xf numFmtId="0" fontId="1" fillId="0" borderId="0" xfId="0" applyFont="1" applyAlignment="1">
      <alignment horizontal="center"/>
    </xf>
    <xf numFmtId="0" fontId="0" fillId="0" borderId="12"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16" xfId="0" applyBorder="1" applyAlignment="1">
      <alignment horizontal="left" vertical="top" wrapText="1"/>
    </xf>
    <xf numFmtId="0" fontId="0" fillId="0" borderId="22" xfId="0" applyBorder="1" applyAlignment="1">
      <alignment horizontal="left" vertical="top" wrapText="1"/>
    </xf>
    <xf numFmtId="0" fontId="0" fillId="0" borderId="17" xfId="0" applyBorder="1" applyAlignment="1">
      <alignment horizontal="left" vertical="top" wrapText="1"/>
    </xf>
    <xf numFmtId="0" fontId="21" fillId="0" borderId="0" xfId="0" applyFont="1" applyAlignment="1">
      <alignment horizontal="center"/>
    </xf>
    <xf numFmtId="0" fontId="8" fillId="0" borderId="22" xfId="0" applyFont="1" applyBorder="1" applyAlignment="1">
      <alignment horizontal="center"/>
    </xf>
    <xf numFmtId="0" fontId="0" fillId="0" borderId="10"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xf>
    <xf numFmtId="0" fontId="0" fillId="0" borderId="9" xfId="0" applyBorder="1" applyAlignment="1">
      <alignment horizontal="center" vertical="center"/>
    </xf>
    <xf numFmtId="0" fontId="1" fillId="0" borderId="9" xfId="0" applyFont="1" applyBorder="1" applyAlignment="1">
      <alignment horizontal="center" wrapText="1"/>
    </xf>
    <xf numFmtId="0" fontId="1" fillId="0" borderId="8" xfId="0" applyFont="1" applyBorder="1" applyAlignment="1">
      <alignment horizontal="center" wrapText="1"/>
    </xf>
    <xf numFmtId="6" fontId="1" fillId="0" borderId="9" xfId="0" applyNumberFormat="1" applyFont="1" applyBorder="1" applyAlignment="1">
      <alignment horizontal="center" vertical="center"/>
    </xf>
    <xf numFmtId="0" fontId="1" fillId="0" borderId="8" xfId="0" applyFont="1" applyBorder="1" applyAlignment="1">
      <alignment horizontal="center" vertical="center"/>
    </xf>
    <xf numFmtId="0" fontId="28" fillId="15" borderId="1" xfId="0" applyFont="1" applyFill="1" applyBorder="1" applyAlignment="1">
      <alignment horizontal="center"/>
    </xf>
    <xf numFmtId="0" fontId="1" fillId="6" borderId="0" xfId="0" applyFont="1" applyFill="1" applyAlignment="1">
      <alignment horizontal="center"/>
    </xf>
    <xf numFmtId="0" fontId="8" fillId="9" borderId="13" xfId="0" applyFont="1" applyFill="1" applyBorder="1" applyAlignment="1">
      <alignment horizontal="center"/>
    </xf>
    <xf numFmtId="0" fontId="8" fillId="9" borderId="14" xfId="0" applyFont="1" applyFill="1" applyBorder="1" applyAlignment="1">
      <alignment horizontal="center"/>
    </xf>
    <xf numFmtId="0" fontId="8" fillId="9" borderId="15" xfId="0" applyFont="1" applyFill="1" applyBorder="1" applyAlignment="1">
      <alignment horizontal="center"/>
    </xf>
    <xf numFmtId="0" fontId="8" fillId="13" borderId="13" xfId="0" applyFont="1" applyFill="1" applyBorder="1" applyAlignment="1">
      <alignment horizontal="center"/>
    </xf>
    <xf numFmtId="0" fontId="8" fillId="13" borderId="14" xfId="0" applyFont="1" applyFill="1" applyBorder="1" applyAlignment="1">
      <alignment horizontal="center"/>
    </xf>
    <xf numFmtId="0" fontId="8" fillId="13" borderId="15" xfId="0" applyFont="1" applyFill="1" applyBorder="1" applyAlignment="1">
      <alignment horizontal="center"/>
    </xf>
    <xf numFmtId="0" fontId="8" fillId="12" borderId="13" xfId="0" applyFont="1" applyFill="1" applyBorder="1" applyAlignment="1">
      <alignment horizontal="center"/>
    </xf>
    <xf numFmtId="0" fontId="8" fillId="12" borderId="14" xfId="0" applyFont="1" applyFill="1" applyBorder="1" applyAlignment="1">
      <alignment horizontal="center"/>
    </xf>
    <xf numFmtId="0" fontId="8" fillId="12" borderId="15" xfId="0" applyFont="1" applyFill="1" applyBorder="1" applyAlignment="1">
      <alignment horizontal="center"/>
    </xf>
    <xf numFmtId="0" fontId="25" fillId="0" borderId="0" xfId="0" applyFont="1" applyAlignment="1">
      <alignment horizontal="left"/>
    </xf>
    <xf numFmtId="0" fontId="24" fillId="0" borderId="1" xfId="0" applyFont="1" applyBorder="1" applyAlignment="1">
      <alignment horizontal="left" vertical="top" wrapText="1"/>
    </xf>
    <xf numFmtId="0" fontId="8" fillId="13" borderId="13" xfId="0" applyFont="1" applyFill="1" applyBorder="1" applyAlignment="1">
      <alignment horizontal="center" vertical="center"/>
    </xf>
    <xf numFmtId="0" fontId="8" fillId="13" borderId="14" xfId="0" applyFont="1" applyFill="1" applyBorder="1" applyAlignment="1">
      <alignment horizontal="center" vertical="center"/>
    </xf>
    <xf numFmtId="0" fontId="8" fillId="13" borderId="15" xfId="0" applyFont="1" applyFill="1" applyBorder="1" applyAlignment="1">
      <alignment horizontal="center" vertical="center"/>
    </xf>
    <xf numFmtId="49" fontId="12" fillId="0" borderId="10" xfId="0" applyNumberFormat="1" applyFont="1" applyBorder="1" applyAlignment="1">
      <alignment horizontal="left"/>
    </xf>
    <xf numFmtId="49" fontId="12" fillId="0" borderId="11" xfId="0" applyNumberFormat="1" applyFont="1" applyBorder="1" applyAlignment="1">
      <alignment horizontal="left"/>
    </xf>
    <xf numFmtId="49" fontId="12" fillId="0" borderId="3" xfId="0" applyNumberFormat="1" applyFont="1" applyBorder="1" applyAlignment="1">
      <alignment horizontal="left"/>
    </xf>
    <xf numFmtId="49" fontId="12" fillId="0" borderId="10" xfId="0" applyNumberFormat="1" applyFont="1" applyBorder="1" applyAlignment="1">
      <alignment horizontal="left" vertical="top"/>
    </xf>
    <xf numFmtId="49" fontId="12" fillId="0" borderId="11" xfId="0" applyNumberFormat="1" applyFont="1" applyBorder="1" applyAlignment="1">
      <alignment horizontal="left" vertical="top"/>
    </xf>
    <xf numFmtId="49" fontId="12" fillId="0" borderId="3" xfId="0" applyNumberFormat="1" applyFont="1" applyBorder="1" applyAlignment="1">
      <alignment horizontal="left" vertical="top"/>
    </xf>
    <xf numFmtId="0" fontId="8" fillId="5" borderId="13" xfId="0" applyFont="1" applyFill="1" applyBorder="1" applyAlignment="1">
      <alignment horizontal="center"/>
    </xf>
    <xf numFmtId="0" fontId="8" fillId="5" borderId="14" xfId="0" applyFont="1" applyFill="1" applyBorder="1" applyAlignment="1">
      <alignment horizontal="center"/>
    </xf>
    <xf numFmtId="0" fontId="8" fillId="5" borderId="15" xfId="0" applyFont="1" applyFill="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center"/>
    </xf>
    <xf numFmtId="0" fontId="11" fillId="0" borderId="12"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165" fontId="0" fillId="0" borderId="0" xfId="0" applyNumberFormat="1"/>
  </cellXfs>
  <cellStyles count="8">
    <cellStyle name="Bad" xfId="7" builtinId="27"/>
    <cellStyle name="Currency" xfId="1" builtinId="4"/>
    <cellStyle name="Good" xfId="6" builtinId="26"/>
    <cellStyle name="Heading" xfId="3" xr:uid="{B132C1A9-A5EF-4238-8E89-0881F674E1D3}"/>
    <cellStyle name="Normal" xfId="0" builtinId="0"/>
    <cellStyle name="Normal 2" xfId="4" xr:uid="{8108AFB7-E15D-4D4E-BA56-C649358CCCF7}"/>
    <cellStyle name="Percent" xfId="5" builtinId="5"/>
    <cellStyle name="Total 1" xfId="2" xr:uid="{B080CBD9-78B6-44AD-9A06-8F7FF752A87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3ECD3"/>
      <color rgb="FFFF8B8B"/>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Startup Expenses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08-4F06-A8CB-8364DAA7B4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08-4F06-A8CB-8364DAA7B4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908-4F06-A8CB-8364DAA7B4F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08-4F06-A8CB-8364DAA7B4F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908-4F06-A8CB-8364DAA7B4F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08-4F06-A8CB-8364DAA7B4F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908-4F06-A8CB-8364DAA7B4F0}"/>
              </c:ext>
            </c:extLst>
          </c:dPt>
          <c:dLbls>
            <c:dLbl>
              <c:idx val="0"/>
              <c:layout>
                <c:manualLayout>
                  <c:x val="9.0724283900674774E-2"/>
                  <c:y val="-8.791588134632686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08-4F06-A8CB-8364DAA7B4F0}"/>
                </c:ext>
              </c:extLst>
            </c:dLbl>
            <c:dLbl>
              <c:idx val="1"/>
              <c:layout>
                <c:manualLayout>
                  <c:x val="2.1601019976351136E-3"/>
                  <c:y val="9.96379988591702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08-4F06-A8CB-8364DAA7B4F0}"/>
                </c:ext>
              </c:extLst>
            </c:dLbl>
            <c:dLbl>
              <c:idx val="2"/>
              <c:layout>
                <c:manualLayout>
                  <c:x val="-4.3202039952702298E-3"/>
                  <c:y val="6.74021756988505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08-4F06-A8CB-8364DAA7B4F0}"/>
                </c:ext>
              </c:extLst>
            </c:dLbl>
            <c:dLbl>
              <c:idx val="3"/>
              <c:layout>
                <c:manualLayout>
                  <c:x val="-2.1601019976351184E-3"/>
                  <c:y val="-6.44716463206396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08-4F06-A8CB-8364DAA7B4F0}"/>
                </c:ext>
              </c:extLst>
            </c:dLbl>
            <c:dLbl>
              <c:idx val="4"/>
              <c:layout>
                <c:manualLayout>
                  <c:x val="-3.4561631962161839E-2"/>
                  <c:y val="2.930529378210864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08-4F06-A8CB-8364DAA7B4F0}"/>
                </c:ext>
              </c:extLst>
            </c:dLbl>
            <c:dLbl>
              <c:idx val="5"/>
              <c:layout>
                <c:manualLayout>
                  <c:x val="-6.4803059929053409E-3"/>
                  <c:y val="-2.93052937821089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08-4F06-A8CB-8364DAA7B4F0}"/>
                </c:ext>
              </c:extLst>
            </c:dLbl>
            <c:dLbl>
              <c:idx val="6"/>
              <c:layout>
                <c:manualLayout>
                  <c:x val="1.9440917978716023E-2"/>
                  <c:y val="-6.44716463206396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08-4F06-A8CB-8364DAA7B4F0}"/>
                </c:ext>
              </c:extLst>
            </c:dLbl>
            <c:numFmt formatCode="&quot;$&quot;#,##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Startup!$A$44:$A$50</c:f>
              <c:strCache>
                <c:ptCount val="7"/>
                <c:pt idx="0">
                  <c:v>Business Registration &amp; Licensing</c:v>
                </c:pt>
                <c:pt idx="1">
                  <c:v>Mobile Van &amp; Equipment</c:v>
                </c:pt>
                <c:pt idx="2">
                  <c:v>Technology &amp; Software</c:v>
                </c:pt>
                <c:pt idx="3">
                  <c:v>Marketing &amp; Branding</c:v>
                </c:pt>
                <c:pt idx="4">
                  <c:v>Professional Services</c:v>
                </c:pt>
                <c:pt idx="5">
                  <c:v>Insurance</c:v>
                </c:pt>
                <c:pt idx="6">
                  <c:v>Miscellaneous Expenses</c:v>
                </c:pt>
              </c:strCache>
            </c:strRef>
          </c:cat>
          <c:val>
            <c:numRef>
              <c:f>Startup!$B$44:$B$50</c:f>
              <c:numCache>
                <c:formatCode>"$"#,##0_);[Red]\("$"#,##0\)</c:formatCode>
                <c:ptCount val="7"/>
                <c:pt idx="0">
                  <c:v>1500</c:v>
                </c:pt>
                <c:pt idx="1">
                  <c:v>33000</c:v>
                </c:pt>
                <c:pt idx="2">
                  <c:v>9200</c:v>
                </c:pt>
                <c:pt idx="3">
                  <c:v>9750</c:v>
                </c:pt>
                <c:pt idx="4">
                  <c:v>1750</c:v>
                </c:pt>
                <c:pt idx="5">
                  <c:v>800</c:v>
                </c:pt>
                <c:pt idx="6">
                  <c:v>2000</c:v>
                </c:pt>
              </c:numCache>
            </c:numRef>
          </c:val>
          <c:extLst>
            <c:ext xmlns:c16="http://schemas.microsoft.com/office/drawing/2014/chart" uri="{C3380CC4-5D6E-409C-BE32-E72D297353CC}">
              <c16:uniqueId val="{00000000-B908-4F06-A8CB-8364DAA7B4F0}"/>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508000</xdr:colOff>
      <xdr:row>39</xdr:row>
      <xdr:rowOff>81430</xdr:rowOff>
    </xdr:from>
    <xdr:to>
      <xdr:col>6</xdr:col>
      <xdr:colOff>22411</xdr:colOff>
      <xdr:row>62</xdr:row>
      <xdr:rowOff>112059</xdr:rowOff>
    </xdr:to>
    <xdr:graphicFrame macro="">
      <xdr:nvGraphicFramePr>
        <xdr:cNvPr id="3" name="Chart 2">
          <a:extLst>
            <a:ext uri="{FF2B5EF4-FFF2-40B4-BE49-F238E27FC236}">
              <a16:creationId xmlns:a16="http://schemas.microsoft.com/office/drawing/2014/main" id="{8B25F675-A39F-7546-3CB1-90E249E90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B772-F119-48C8-A555-532C64263F79}">
  <sheetPr>
    <tabColor theme="8" tint="0.79998168889431442"/>
    <pageSetUpPr fitToPage="1"/>
  </sheetPr>
  <dimension ref="A1:B27"/>
  <sheetViews>
    <sheetView zoomScaleNormal="100" zoomScalePageLayoutView="55" workbookViewId="0">
      <selection activeCell="B8" sqref="B8"/>
    </sheetView>
  </sheetViews>
  <sheetFormatPr defaultRowHeight="14.5"/>
  <cols>
    <col min="1" max="1" width="19.26953125" bestFit="1" customWidth="1"/>
    <col min="2" max="2" width="102.81640625" customWidth="1"/>
  </cols>
  <sheetData>
    <row r="1" spans="1:2" ht="21">
      <c r="A1" s="303" t="s">
        <v>0</v>
      </c>
      <c r="B1" s="303"/>
    </row>
    <row r="2" spans="1:2" ht="15" thickBot="1">
      <c r="A2" s="4"/>
      <c r="B2" s="1"/>
    </row>
    <row r="3" spans="1:2" ht="29.5" thickBot="1">
      <c r="A3" s="6" t="s">
        <v>1</v>
      </c>
      <c r="B3" s="2" t="s">
        <v>2</v>
      </c>
    </row>
    <row r="4" spans="1:2" ht="15" thickBot="1">
      <c r="A4" s="5"/>
      <c r="B4" s="1"/>
    </row>
    <row r="5" spans="1:2">
      <c r="A5" s="7" t="s">
        <v>3</v>
      </c>
      <c r="B5" s="3"/>
    </row>
    <row r="6" spans="1:2" ht="15" thickBot="1">
      <c r="A6" s="279" t="s">
        <v>4</v>
      </c>
      <c r="B6" s="3" t="s">
        <v>5</v>
      </c>
    </row>
    <row r="7" spans="1:2">
      <c r="A7" s="281" t="s">
        <v>6</v>
      </c>
      <c r="B7" s="3" t="s">
        <v>7</v>
      </c>
    </row>
    <row r="8" spans="1:2" ht="15" thickBot="1">
      <c r="A8" s="282" t="s">
        <v>8</v>
      </c>
      <c r="B8" s="3" t="s">
        <v>9</v>
      </c>
    </row>
    <row r="9" spans="1:2">
      <c r="A9" s="280" t="s">
        <v>10</v>
      </c>
      <c r="B9" s="3" t="s">
        <v>11</v>
      </c>
    </row>
    <row r="10" spans="1:2">
      <c r="A10" s="8" t="s">
        <v>12</v>
      </c>
      <c r="B10" s="3" t="s">
        <v>13</v>
      </c>
    </row>
    <row r="11" spans="1:2">
      <c r="A11" s="8" t="s">
        <v>14</v>
      </c>
      <c r="B11" s="3" t="s">
        <v>15</v>
      </c>
    </row>
    <row r="12" spans="1:2">
      <c r="A12" s="9" t="s">
        <v>16</v>
      </c>
      <c r="B12" s="3" t="s">
        <v>17</v>
      </c>
    </row>
    <row r="13" spans="1:2">
      <c r="A13" s="169" t="s">
        <v>18</v>
      </c>
      <c r="B13" s="168" t="s">
        <v>19</v>
      </c>
    </row>
    <row r="14" spans="1:2">
      <c r="A14" s="10" t="s">
        <v>20</v>
      </c>
      <c r="B14" s="3" t="s">
        <v>21</v>
      </c>
    </row>
    <row r="15" spans="1:2">
      <c r="A15" s="11" t="s">
        <v>22</v>
      </c>
      <c r="B15" s="3" t="s">
        <v>23</v>
      </c>
    </row>
    <row r="16" spans="1:2">
      <c r="A16" s="18" t="s">
        <v>24</v>
      </c>
      <c r="B16" s="3" t="s">
        <v>25</v>
      </c>
    </row>
    <row r="17" spans="1:2">
      <c r="A17" s="12" t="s">
        <v>26</v>
      </c>
      <c r="B17" s="3" t="s">
        <v>27</v>
      </c>
    </row>
    <row r="18" spans="1:2">
      <c r="A18" s="18" t="s">
        <v>28</v>
      </c>
      <c r="B18" s="3" t="s">
        <v>29</v>
      </c>
    </row>
    <row r="19" spans="1:2">
      <c r="A19" s="13" t="s">
        <v>30</v>
      </c>
      <c r="B19" s="3" t="s">
        <v>31</v>
      </c>
    </row>
    <row r="20" spans="1:2">
      <c r="A20" s="13" t="s">
        <v>32</v>
      </c>
      <c r="B20" s="3" t="s">
        <v>33</v>
      </c>
    </row>
    <row r="21" spans="1:2">
      <c r="A21" s="14"/>
      <c r="B21" s="3"/>
    </row>
    <row r="22" spans="1:2">
      <c r="A22" s="15" t="s">
        <v>34</v>
      </c>
      <c r="B22" s="3"/>
    </row>
    <row r="23" spans="1:2">
      <c r="A23" s="95" t="s">
        <v>35</v>
      </c>
      <c r="B23" s="3" t="s">
        <v>36</v>
      </c>
    </row>
    <row r="24" spans="1:2">
      <c r="A24" s="14" t="s">
        <v>37</v>
      </c>
      <c r="B24" s="3" t="s">
        <v>38</v>
      </c>
    </row>
    <row r="25" spans="1:2">
      <c r="A25" s="16" t="s">
        <v>39</v>
      </c>
      <c r="B25" s="3" t="s">
        <v>40</v>
      </c>
    </row>
    <row r="26" spans="1:2" ht="15" thickBot="1">
      <c r="A26" s="101" t="s">
        <v>41</v>
      </c>
      <c r="B26" s="89" t="s">
        <v>42</v>
      </c>
    </row>
    <row r="27" spans="1:2" ht="15" thickBot="1">
      <c r="A27" s="102" t="s">
        <v>43</v>
      </c>
      <c r="B27" s="103" t="s">
        <v>44</v>
      </c>
    </row>
  </sheetData>
  <mergeCells count="1">
    <mergeCell ref="A1:B1"/>
  </mergeCells>
  <conditionalFormatting sqref="A5:A6 A9:A20">
    <cfRule type="colorScale" priority="6">
      <colorScale>
        <cfvo type="min"/>
        <cfvo type="percentile" val="50"/>
        <cfvo type="max"/>
        <color rgb="FFF8696B"/>
        <color rgb="FFFFEB84"/>
        <color rgb="FF63BE7B"/>
      </colorScale>
    </cfRule>
  </conditionalFormatting>
  <conditionalFormatting sqref="A23">
    <cfRule type="colorScale" priority="2">
      <colorScale>
        <cfvo type="min"/>
        <cfvo type="percentile" val="50"/>
        <cfvo type="max"/>
        <color rgb="FFF8696B"/>
        <color rgb="FFFFEB84"/>
        <color rgb="FF63BE7B"/>
      </colorScale>
    </cfRule>
  </conditionalFormatting>
  <conditionalFormatting sqref="A26">
    <cfRule type="colorScale" priority="1">
      <colorScale>
        <cfvo type="min"/>
        <cfvo type="percentile" val="50"/>
        <cfvo type="max"/>
        <color rgb="FFF8696B"/>
        <color rgb="FFFFEB84"/>
        <color rgb="FF63BE7B"/>
      </colorScale>
    </cfRule>
  </conditionalFormatting>
  <pageMargins left="0.38" right="0.25" top="0.75" bottom="0.75" header="0.3" footer="0.3"/>
  <pageSetup orientation="landscape" r:id="rId1"/>
  <headerFooter>
    <oddFooter>&amp;LPrepared by: Miraj Sangani&amp;CCover Page&amp;R&amp;P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10CF-82A9-438E-83DA-E1043AFF2DFF}">
  <sheetPr>
    <tabColor rgb="FFF3ECD3"/>
  </sheetPr>
  <dimension ref="A1:H37"/>
  <sheetViews>
    <sheetView workbookViewId="0">
      <selection activeCell="F8" sqref="F8"/>
    </sheetView>
  </sheetViews>
  <sheetFormatPr defaultRowHeight="14.5"/>
  <cols>
    <col min="2" max="2" width="21.7265625" bestFit="1" customWidth="1"/>
    <col min="3" max="3" width="21.26953125" bestFit="1" customWidth="1"/>
    <col min="4" max="4" width="16.453125" bestFit="1" customWidth="1"/>
    <col min="5" max="5" width="10.54296875" bestFit="1" customWidth="1"/>
  </cols>
  <sheetData>
    <row r="1" spans="1:8" ht="15.5">
      <c r="A1" s="304" t="s">
        <v>45</v>
      </c>
      <c r="B1" s="305"/>
      <c r="C1" s="305"/>
      <c r="D1" s="305"/>
      <c r="E1" s="305"/>
      <c r="F1" s="305"/>
      <c r="G1" s="305"/>
      <c r="H1" s="306"/>
    </row>
    <row r="3" spans="1:8" ht="15.5">
      <c r="B3" s="252" t="s">
        <v>46</v>
      </c>
      <c r="C3" s="252" t="s">
        <v>47</v>
      </c>
      <c r="D3" s="252" t="s">
        <v>48</v>
      </c>
      <c r="E3" s="252" t="s">
        <v>49</v>
      </c>
      <c r="F3" s="117"/>
      <c r="G3" s="117"/>
      <c r="H3" s="117"/>
    </row>
    <row r="4" spans="1:8" ht="15.5">
      <c r="B4" s="253" t="s">
        <v>50</v>
      </c>
      <c r="C4" s="254"/>
      <c r="D4" s="254"/>
      <c r="E4" s="254"/>
      <c r="F4" s="46"/>
      <c r="G4" s="117"/>
      <c r="H4" s="117"/>
    </row>
    <row r="5" spans="1:8" ht="15.5">
      <c r="B5" s="254" t="s">
        <v>51</v>
      </c>
      <c r="C5" s="255">
        <v>120000</v>
      </c>
      <c r="D5" s="255">
        <v>60000</v>
      </c>
      <c r="E5" s="255">
        <f>SUM(C5:D5)</f>
        <v>180000</v>
      </c>
      <c r="F5" s="46"/>
      <c r="G5" s="117"/>
      <c r="H5" s="117"/>
    </row>
    <row r="6" spans="1:8" ht="15.5">
      <c r="B6" s="256" t="s">
        <v>52</v>
      </c>
      <c r="C6" s="257">
        <v>10000</v>
      </c>
      <c r="D6" s="257">
        <v>3000</v>
      </c>
      <c r="E6" s="257">
        <f t="shared" ref="E6:E31" si="0">SUM(C6:D6)</f>
        <v>13000</v>
      </c>
      <c r="G6" s="17"/>
      <c r="H6" s="17"/>
    </row>
    <row r="7" spans="1:8" ht="16" thickBot="1">
      <c r="B7" s="258" t="s">
        <v>53</v>
      </c>
      <c r="C7" s="259">
        <f>SUM(C5:C6)</f>
        <v>130000</v>
      </c>
      <c r="D7" s="259">
        <f t="shared" ref="D7" si="1">SUM(D5:D6)</f>
        <v>63000</v>
      </c>
      <c r="E7" s="259">
        <f t="shared" si="0"/>
        <v>193000</v>
      </c>
      <c r="G7" s="17"/>
      <c r="H7" s="17"/>
    </row>
    <row r="8" spans="1:8" ht="16" thickTop="1">
      <c r="B8" s="260" t="s">
        <v>54</v>
      </c>
      <c r="C8" s="261"/>
      <c r="D8" s="261"/>
      <c r="E8" s="262"/>
      <c r="G8" s="17"/>
      <c r="H8" s="17"/>
    </row>
    <row r="9" spans="1:8" ht="15.5">
      <c r="B9" s="256" t="s">
        <v>55</v>
      </c>
      <c r="C9" s="257">
        <v>46512</v>
      </c>
      <c r="D9" s="257">
        <v>0</v>
      </c>
      <c r="E9" s="257">
        <f t="shared" si="0"/>
        <v>46512</v>
      </c>
      <c r="G9" s="17"/>
      <c r="H9" s="17"/>
    </row>
    <row r="10" spans="1:8" ht="15.5">
      <c r="B10" s="256" t="s">
        <v>56</v>
      </c>
      <c r="C10" s="257">
        <v>0</v>
      </c>
      <c r="D10" s="257">
        <v>3600</v>
      </c>
      <c r="E10" s="257">
        <f>SUM(C10:D10)</f>
        <v>3600</v>
      </c>
      <c r="G10" s="17"/>
      <c r="H10" s="17"/>
    </row>
    <row r="11" spans="1:8" ht="15.5">
      <c r="B11" s="256" t="s">
        <v>57</v>
      </c>
      <c r="C11" s="257">
        <v>3600</v>
      </c>
      <c r="D11" s="257">
        <v>2400</v>
      </c>
      <c r="E11" s="257">
        <f t="shared" si="0"/>
        <v>6000</v>
      </c>
    </row>
    <row r="12" spans="1:8" ht="15.5">
      <c r="B12" s="256" t="s">
        <v>58</v>
      </c>
      <c r="C12" s="257">
        <v>1800</v>
      </c>
      <c r="D12" s="257">
        <v>1200</v>
      </c>
      <c r="E12" s="257">
        <f t="shared" si="0"/>
        <v>3000</v>
      </c>
    </row>
    <row r="13" spans="1:8" ht="15.5">
      <c r="B13" s="256" t="s">
        <v>59</v>
      </c>
      <c r="C13" s="257">
        <v>4800</v>
      </c>
      <c r="D13" s="257">
        <v>3600</v>
      </c>
      <c r="E13" s="257">
        <f t="shared" si="0"/>
        <v>8400</v>
      </c>
    </row>
    <row r="14" spans="1:8" ht="15.5">
      <c r="B14" s="256" t="s">
        <v>60</v>
      </c>
      <c r="C14" s="257">
        <v>2400</v>
      </c>
      <c r="D14" s="257">
        <v>1800</v>
      </c>
      <c r="E14" s="257">
        <f t="shared" si="0"/>
        <v>4200</v>
      </c>
    </row>
    <row r="15" spans="1:8" ht="15.5">
      <c r="B15" s="256" t="s">
        <v>61</v>
      </c>
      <c r="C15" s="257">
        <v>1800</v>
      </c>
      <c r="D15" s="257">
        <v>1200</v>
      </c>
      <c r="E15" s="257">
        <f t="shared" si="0"/>
        <v>3000</v>
      </c>
    </row>
    <row r="16" spans="1:8" ht="15.5">
      <c r="B16" s="256" t="s">
        <v>62</v>
      </c>
      <c r="C16" s="257">
        <v>1200</v>
      </c>
      <c r="D16" s="257">
        <v>1200</v>
      </c>
      <c r="E16" s="257">
        <f t="shared" si="0"/>
        <v>2400</v>
      </c>
    </row>
    <row r="17" spans="2:5" ht="15.5">
      <c r="B17" s="256" t="s">
        <v>63</v>
      </c>
      <c r="C17" s="257">
        <v>600</v>
      </c>
      <c r="D17" s="257">
        <v>900</v>
      </c>
      <c r="E17" s="257">
        <f t="shared" si="0"/>
        <v>1500</v>
      </c>
    </row>
    <row r="18" spans="2:5" ht="15.5">
      <c r="B18" s="256" t="s">
        <v>64</v>
      </c>
      <c r="C18" s="257">
        <v>200</v>
      </c>
      <c r="D18" s="257">
        <v>200</v>
      </c>
      <c r="E18" s="257">
        <f t="shared" si="0"/>
        <v>400</v>
      </c>
    </row>
    <row r="19" spans="2:5" ht="15.5">
      <c r="B19" s="256" t="s">
        <v>65</v>
      </c>
      <c r="C19" s="257">
        <v>500</v>
      </c>
      <c r="D19" s="257">
        <v>500</v>
      </c>
      <c r="E19" s="257">
        <f t="shared" si="0"/>
        <v>1000</v>
      </c>
    </row>
    <row r="20" spans="2:5" ht="15.5">
      <c r="B20" s="256" t="s">
        <v>66</v>
      </c>
      <c r="C20" s="257">
        <v>260</v>
      </c>
      <c r="D20" s="257">
        <v>0</v>
      </c>
      <c r="E20" s="257">
        <f t="shared" si="0"/>
        <v>260</v>
      </c>
    </row>
    <row r="21" spans="2:5" ht="15.5">
      <c r="B21" s="256" t="s">
        <v>67</v>
      </c>
      <c r="C21" s="257">
        <v>0</v>
      </c>
      <c r="D21" s="257">
        <v>360</v>
      </c>
      <c r="E21" s="257">
        <f t="shared" si="0"/>
        <v>360</v>
      </c>
    </row>
    <row r="22" spans="2:5" ht="15.5">
      <c r="B22" s="256" t="s">
        <v>68</v>
      </c>
      <c r="C22" s="257">
        <v>2400</v>
      </c>
      <c r="D22" s="257">
        <v>1200</v>
      </c>
      <c r="E22" s="257">
        <f t="shared" si="0"/>
        <v>3600</v>
      </c>
    </row>
    <row r="23" spans="2:5" ht="15.5">
      <c r="B23" s="256" t="s">
        <v>69</v>
      </c>
      <c r="C23" s="257">
        <v>34800</v>
      </c>
      <c r="D23" s="257">
        <v>15600</v>
      </c>
      <c r="E23" s="257">
        <f>SUM(C23:D23)</f>
        <v>50400</v>
      </c>
    </row>
    <row r="24" spans="2:5" ht="16" thickBot="1">
      <c r="B24" s="258" t="s">
        <v>70</v>
      </c>
      <c r="C24" s="259">
        <f>SUM(C9:C23)</f>
        <v>100872</v>
      </c>
      <c r="D24" s="259">
        <f t="shared" ref="D24" si="2">SUM(D9:D23)</f>
        <v>33760</v>
      </c>
      <c r="E24" s="259">
        <f>SUM(C24:D24)</f>
        <v>134632</v>
      </c>
    </row>
    <row r="25" spans="2:5" ht="16" thickTop="1">
      <c r="B25" s="263" t="s">
        <v>71</v>
      </c>
      <c r="C25" s="261"/>
      <c r="D25" s="261"/>
      <c r="E25" s="262"/>
    </row>
    <row r="26" spans="2:5" ht="15.5">
      <c r="B26" s="256" t="s">
        <v>72</v>
      </c>
      <c r="C26" s="257">
        <v>3000</v>
      </c>
      <c r="D26" s="257">
        <v>3600</v>
      </c>
      <c r="E26" s="257">
        <f t="shared" si="0"/>
        <v>6600</v>
      </c>
    </row>
    <row r="27" spans="2:5" ht="15.5">
      <c r="B27" s="256" t="s">
        <v>73</v>
      </c>
      <c r="C27" s="257">
        <v>6000</v>
      </c>
      <c r="D27" s="257">
        <v>6000</v>
      </c>
      <c r="E27" s="257">
        <f t="shared" si="0"/>
        <v>12000</v>
      </c>
    </row>
    <row r="28" spans="2:5" ht="15.5">
      <c r="B28" s="256" t="s">
        <v>74</v>
      </c>
      <c r="C28" s="257">
        <v>2400</v>
      </c>
      <c r="D28" s="257">
        <v>1200</v>
      </c>
      <c r="E28" s="257">
        <f t="shared" si="0"/>
        <v>3600</v>
      </c>
    </row>
    <row r="29" spans="2:5" ht="15.5">
      <c r="B29" s="256" t="s">
        <v>75</v>
      </c>
      <c r="C29" s="257">
        <v>12500</v>
      </c>
      <c r="D29" s="257">
        <v>1800</v>
      </c>
      <c r="E29" s="257">
        <f t="shared" si="0"/>
        <v>14300</v>
      </c>
    </row>
    <row r="30" spans="2:5" ht="15.5">
      <c r="B30" s="264" t="s">
        <v>76</v>
      </c>
      <c r="C30" s="265">
        <f>SUM(C26:C29)</f>
        <v>23900</v>
      </c>
      <c r="D30" s="265">
        <f>SUM(D26:D29)</f>
        <v>12600</v>
      </c>
      <c r="E30" s="265">
        <f t="shared" si="0"/>
        <v>36500</v>
      </c>
    </row>
    <row r="31" spans="2:5" ht="16" thickBot="1">
      <c r="B31" s="258" t="s">
        <v>77</v>
      </c>
      <c r="C31" s="259">
        <f>C7-C24-C30</f>
        <v>5228</v>
      </c>
      <c r="D31" s="259">
        <f>D7-D24-D30</f>
        <v>16640</v>
      </c>
      <c r="E31" s="259">
        <f t="shared" si="0"/>
        <v>21868</v>
      </c>
    </row>
    <row r="32" spans="2:5" ht="15" thickTop="1"/>
    <row r="33" spans="2:6">
      <c r="B33" s="17" t="s">
        <v>78</v>
      </c>
      <c r="C33" s="17"/>
      <c r="D33" s="17"/>
      <c r="E33" s="17"/>
      <c r="F33" s="17"/>
    </row>
    <row r="34" spans="2:6">
      <c r="B34" s="307" t="s">
        <v>79</v>
      </c>
      <c r="C34" s="307"/>
      <c r="D34" s="307"/>
      <c r="E34" s="307"/>
      <c r="F34" s="266"/>
    </row>
    <row r="35" spans="2:6">
      <c r="B35" s="307"/>
      <c r="C35" s="307"/>
      <c r="D35" s="307"/>
      <c r="E35" s="307"/>
      <c r="F35" s="266"/>
    </row>
    <row r="36" spans="2:6">
      <c r="B36" s="307"/>
      <c r="C36" s="307"/>
      <c r="D36" s="307"/>
      <c r="E36" s="307"/>
      <c r="F36" s="266"/>
    </row>
    <row r="37" spans="2:6">
      <c r="B37" s="307"/>
      <c r="C37" s="307"/>
      <c r="D37" s="307"/>
      <c r="E37" s="307"/>
      <c r="F37" s="266"/>
    </row>
  </sheetData>
  <mergeCells count="2">
    <mergeCell ref="A1:H1"/>
    <mergeCell ref="B34:E37"/>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732C-3669-43B7-9E7F-837E71556F1E}">
  <sheetPr>
    <tabColor rgb="FFF3ECD3"/>
    <pageSetUpPr fitToPage="1"/>
  </sheetPr>
  <dimension ref="A1:H50"/>
  <sheetViews>
    <sheetView workbookViewId="0">
      <selection sqref="A1:H1"/>
    </sheetView>
  </sheetViews>
  <sheetFormatPr defaultRowHeight="14.5"/>
  <cols>
    <col min="2" max="2" width="18.54296875" bestFit="1" customWidth="1"/>
    <col min="3" max="3" width="29.54296875" bestFit="1" customWidth="1"/>
    <col min="4" max="5" width="11.7265625" bestFit="1" customWidth="1"/>
    <col min="6" max="6" width="13.453125" bestFit="1" customWidth="1"/>
  </cols>
  <sheetData>
    <row r="1" spans="1:8" ht="15.5">
      <c r="A1" s="308" t="s">
        <v>6</v>
      </c>
      <c r="B1" s="308"/>
      <c r="C1" s="308"/>
      <c r="D1" s="308"/>
      <c r="E1" s="308"/>
      <c r="F1" s="308"/>
      <c r="G1" s="308"/>
      <c r="H1" s="308"/>
    </row>
    <row r="3" spans="1:8" ht="15.5">
      <c r="B3" s="309" t="s">
        <v>46</v>
      </c>
      <c r="C3" s="310"/>
      <c r="D3" s="234" t="s">
        <v>80</v>
      </c>
      <c r="E3" s="234" t="s">
        <v>81</v>
      </c>
      <c r="F3" s="234" t="s">
        <v>82</v>
      </c>
      <c r="G3" s="46"/>
      <c r="H3" s="46"/>
    </row>
    <row r="4" spans="1:8" ht="16">
      <c r="B4" s="235" t="s">
        <v>83</v>
      </c>
      <c r="C4" s="236"/>
      <c r="D4" s="237"/>
      <c r="E4" s="237"/>
      <c r="F4" s="237"/>
      <c r="G4" s="46"/>
      <c r="H4" s="46"/>
    </row>
    <row r="5" spans="1:8" ht="16">
      <c r="B5" s="238"/>
      <c r="C5" s="239" t="s">
        <v>84</v>
      </c>
      <c r="D5" s="267">
        <v>15000</v>
      </c>
      <c r="E5" s="268">
        <v>10000</v>
      </c>
      <c r="F5" s="268">
        <f>SUM(D5:E5)</f>
        <v>25000</v>
      </c>
      <c r="G5" s="46"/>
      <c r="H5" s="46"/>
    </row>
    <row r="6" spans="1:8" ht="16">
      <c r="B6" s="240"/>
      <c r="C6" s="241" t="s">
        <v>85</v>
      </c>
      <c r="D6" s="269">
        <v>25000</v>
      </c>
      <c r="E6" s="270">
        <v>15000</v>
      </c>
      <c r="F6" s="270">
        <f t="shared" ref="F6:F28" si="0">SUM(D6:E6)</f>
        <v>40000</v>
      </c>
    </row>
    <row r="7" spans="1:8" ht="16">
      <c r="B7" s="240"/>
      <c r="C7" s="241" t="s">
        <v>86</v>
      </c>
      <c r="D7" s="271">
        <v>20000</v>
      </c>
      <c r="E7" s="272">
        <v>10000</v>
      </c>
      <c r="F7" s="270">
        <f t="shared" si="0"/>
        <v>30000</v>
      </c>
    </row>
    <row r="8" spans="1:8" ht="16.5" thickBot="1">
      <c r="B8" s="240"/>
      <c r="C8" s="242" t="s">
        <v>87</v>
      </c>
      <c r="D8" s="273">
        <f>SUM(D5:D7)</f>
        <v>60000</v>
      </c>
      <c r="E8" s="273">
        <f>SUM(E5:E7)</f>
        <v>35000</v>
      </c>
      <c r="F8" s="274">
        <f t="shared" si="0"/>
        <v>95000</v>
      </c>
    </row>
    <row r="9" spans="1:8" ht="16.5" thickTop="1">
      <c r="B9" s="243" t="s">
        <v>88</v>
      </c>
      <c r="C9" s="244"/>
      <c r="D9" s="275"/>
      <c r="E9" s="276"/>
      <c r="F9" s="276"/>
    </row>
    <row r="10" spans="1:8" ht="16">
      <c r="B10" s="240"/>
      <c r="C10" s="241" t="s">
        <v>72</v>
      </c>
      <c r="D10" s="269">
        <v>30000</v>
      </c>
      <c r="E10" s="270">
        <v>20000</v>
      </c>
      <c r="F10" s="270">
        <f t="shared" si="0"/>
        <v>50000</v>
      </c>
    </row>
    <row r="11" spans="1:8" ht="16">
      <c r="B11" s="240"/>
      <c r="C11" s="241" t="s">
        <v>73</v>
      </c>
      <c r="D11" s="269">
        <v>50000</v>
      </c>
      <c r="E11" s="270">
        <v>25000</v>
      </c>
      <c r="F11" s="270">
        <f t="shared" si="0"/>
        <v>75000</v>
      </c>
    </row>
    <row r="12" spans="1:8" ht="16">
      <c r="B12" s="240"/>
      <c r="C12" s="241" t="s">
        <v>89</v>
      </c>
      <c r="D12" s="269">
        <v>800000</v>
      </c>
      <c r="E12" s="270">
        <v>0</v>
      </c>
      <c r="F12" s="270">
        <f t="shared" si="0"/>
        <v>800000</v>
      </c>
    </row>
    <row r="13" spans="1:8" ht="16">
      <c r="B13" s="240"/>
      <c r="C13" s="241" t="s">
        <v>90</v>
      </c>
      <c r="D13" s="269">
        <v>25000</v>
      </c>
      <c r="E13" s="270">
        <v>15000</v>
      </c>
      <c r="F13" s="270">
        <f t="shared" si="0"/>
        <v>40000</v>
      </c>
    </row>
    <row r="14" spans="1:8" ht="16">
      <c r="B14" s="240"/>
      <c r="C14" s="241" t="s">
        <v>91</v>
      </c>
      <c r="D14" s="269">
        <v>10000</v>
      </c>
      <c r="E14" s="270">
        <v>8000</v>
      </c>
      <c r="F14" s="270">
        <f t="shared" si="0"/>
        <v>18000</v>
      </c>
    </row>
    <row r="15" spans="1:8" ht="16">
      <c r="B15" s="240"/>
      <c r="C15" s="241" t="s">
        <v>92</v>
      </c>
      <c r="D15" s="271">
        <v>2000</v>
      </c>
      <c r="E15" s="272">
        <v>10000</v>
      </c>
      <c r="F15" s="270">
        <f t="shared" si="0"/>
        <v>12000</v>
      </c>
    </row>
    <row r="16" spans="1:8" ht="16.5" thickBot="1">
      <c r="B16" s="240"/>
      <c r="C16" s="242" t="s">
        <v>93</v>
      </c>
      <c r="D16" s="273">
        <f>SUM(D10:D15)</f>
        <v>917000</v>
      </c>
      <c r="E16" s="273">
        <f>SUM(E10:E15)</f>
        <v>78000</v>
      </c>
      <c r="F16" s="274">
        <f t="shared" si="0"/>
        <v>995000</v>
      </c>
    </row>
    <row r="17" spans="2:6" ht="17" thickTop="1" thickBot="1">
      <c r="B17" s="240"/>
      <c r="C17" s="245" t="s">
        <v>94</v>
      </c>
      <c r="D17" s="277">
        <f>SUM(D8+D16)</f>
        <v>977000</v>
      </c>
      <c r="E17" s="277">
        <f>SUM(E8+E16)</f>
        <v>113000</v>
      </c>
      <c r="F17" s="277">
        <f t="shared" si="0"/>
        <v>1090000</v>
      </c>
    </row>
    <row r="18" spans="2:6" ht="16.5" thickTop="1">
      <c r="B18" s="246" t="s">
        <v>95</v>
      </c>
      <c r="C18" s="247"/>
      <c r="D18" s="275"/>
      <c r="E18" s="276"/>
      <c r="F18" s="276"/>
    </row>
    <row r="19" spans="2:6" ht="16">
      <c r="B19" s="240"/>
      <c r="C19" s="241" t="s">
        <v>96</v>
      </c>
      <c r="D19" s="269">
        <v>1900</v>
      </c>
      <c r="E19" s="270">
        <v>0</v>
      </c>
      <c r="F19" s="270">
        <f t="shared" si="0"/>
        <v>1900</v>
      </c>
    </row>
    <row r="20" spans="2:6" ht="16">
      <c r="B20" s="240"/>
      <c r="C20" s="241" t="s">
        <v>97</v>
      </c>
      <c r="D20" s="271">
        <v>1000</v>
      </c>
      <c r="E20" s="272">
        <v>1300</v>
      </c>
      <c r="F20" s="270">
        <f t="shared" si="0"/>
        <v>2300</v>
      </c>
    </row>
    <row r="21" spans="2:6" ht="16.5" thickBot="1">
      <c r="B21" s="240"/>
      <c r="C21" s="242" t="s">
        <v>98</v>
      </c>
      <c r="D21" s="273">
        <f>SUM(D19:D20)</f>
        <v>2900</v>
      </c>
      <c r="E21" s="273">
        <f>SUM(E19:E20)</f>
        <v>1300</v>
      </c>
      <c r="F21" s="274">
        <f t="shared" si="0"/>
        <v>4200</v>
      </c>
    </row>
    <row r="22" spans="2:6" ht="16.5" thickTop="1">
      <c r="B22" s="246" t="s">
        <v>99</v>
      </c>
      <c r="C22" s="247"/>
      <c r="D22" s="275"/>
      <c r="E22" s="276"/>
      <c r="F22" s="276"/>
    </row>
    <row r="23" spans="2:6" ht="16">
      <c r="B23" s="240"/>
      <c r="C23" s="241" t="s">
        <v>55</v>
      </c>
      <c r="D23" s="269">
        <v>500000</v>
      </c>
      <c r="E23" s="270">
        <v>0</v>
      </c>
      <c r="F23" s="270">
        <f t="shared" si="0"/>
        <v>500000</v>
      </c>
    </row>
    <row r="24" spans="2:6" ht="16">
      <c r="B24" s="240"/>
      <c r="C24" s="241" t="s">
        <v>57</v>
      </c>
      <c r="D24" s="269">
        <v>15000</v>
      </c>
      <c r="E24" s="270">
        <v>8000</v>
      </c>
      <c r="F24" s="270">
        <f t="shared" si="0"/>
        <v>23000</v>
      </c>
    </row>
    <row r="25" spans="2:6" ht="16">
      <c r="B25" s="240"/>
      <c r="C25" s="241" t="s">
        <v>100</v>
      </c>
      <c r="D25" s="271">
        <v>10000</v>
      </c>
      <c r="E25" s="272">
        <v>5000</v>
      </c>
      <c r="F25" s="272">
        <f t="shared" si="0"/>
        <v>15000</v>
      </c>
    </row>
    <row r="26" spans="2:6" ht="16.5" thickBot="1">
      <c r="B26" s="240"/>
      <c r="C26" s="242" t="s">
        <v>101</v>
      </c>
      <c r="D26" s="278">
        <f>SUM(D23:D25)</f>
        <v>525000</v>
      </c>
      <c r="E26" s="278">
        <f>SUM(E23:E25)</f>
        <v>13000</v>
      </c>
      <c r="F26" s="278">
        <f t="shared" si="0"/>
        <v>538000</v>
      </c>
    </row>
    <row r="27" spans="2:6" ht="17" thickTop="1" thickBot="1">
      <c r="B27" s="240"/>
      <c r="C27" s="248" t="s">
        <v>102</v>
      </c>
      <c r="D27" s="274">
        <f>SUM(D21+D26)</f>
        <v>527900</v>
      </c>
      <c r="E27" s="274">
        <f>SUM(E21+E26)</f>
        <v>14300</v>
      </c>
      <c r="F27" s="274">
        <f t="shared" si="0"/>
        <v>542200</v>
      </c>
    </row>
    <row r="28" spans="2:6" ht="17" thickTop="1" thickBot="1">
      <c r="B28" s="249"/>
      <c r="C28" s="250" t="s">
        <v>103</v>
      </c>
      <c r="D28" s="277">
        <f>SUM(D17-D27)</f>
        <v>449100</v>
      </c>
      <c r="E28" s="277">
        <f>SUM(E17-E27)</f>
        <v>98700</v>
      </c>
      <c r="F28" s="277">
        <f t="shared" si="0"/>
        <v>547800</v>
      </c>
    </row>
    <row r="29" spans="2:6" ht="15" thickTop="1">
      <c r="D29" s="251"/>
      <c r="E29" s="251"/>
      <c r="F29" s="251"/>
    </row>
    <row r="31" spans="2:6">
      <c r="B31" t="s">
        <v>104</v>
      </c>
    </row>
    <row r="32" spans="2:6">
      <c r="B32" s="311" t="s">
        <v>105</v>
      </c>
      <c r="C32" s="311"/>
      <c r="D32" s="311"/>
      <c r="E32" s="311"/>
      <c r="F32" s="311"/>
    </row>
    <row r="33" spans="2:6">
      <c r="B33" s="311"/>
      <c r="C33" s="311"/>
      <c r="D33" s="311"/>
      <c r="E33" s="311"/>
      <c r="F33" s="311"/>
    </row>
    <row r="34" spans="2:6">
      <c r="B34" s="311"/>
      <c r="C34" s="311"/>
      <c r="D34" s="311"/>
      <c r="E34" s="311"/>
      <c r="F34" s="311"/>
    </row>
    <row r="35" spans="2:6">
      <c r="B35" s="311"/>
      <c r="C35" s="311"/>
      <c r="D35" s="311"/>
      <c r="E35" s="311"/>
      <c r="F35" s="311"/>
    </row>
    <row r="36" spans="2:6">
      <c r="B36" s="311"/>
      <c r="C36" s="311"/>
      <c r="D36" s="311"/>
      <c r="E36" s="311"/>
      <c r="F36" s="311"/>
    </row>
    <row r="37" spans="2:6">
      <c r="B37" s="311"/>
      <c r="C37" s="311"/>
      <c r="D37" s="311"/>
      <c r="E37" s="311"/>
      <c r="F37" s="311"/>
    </row>
    <row r="38" spans="2:6">
      <c r="B38" s="311"/>
      <c r="C38" s="311"/>
      <c r="D38" s="311"/>
      <c r="E38" s="311"/>
      <c r="F38" s="311"/>
    </row>
    <row r="40" spans="2:6" ht="15.5">
      <c r="B40" s="312" t="s">
        <v>106</v>
      </c>
      <c r="C40" s="312"/>
    </row>
    <row r="41" spans="2:6">
      <c r="B41" s="313" t="s">
        <v>107</v>
      </c>
      <c r="C41" s="313"/>
      <c r="D41" s="313"/>
      <c r="E41" s="313"/>
      <c r="F41" s="313"/>
    </row>
    <row r="42" spans="2:6">
      <c r="B42" s="313"/>
      <c r="C42" s="313"/>
      <c r="D42" s="313"/>
      <c r="E42" s="313"/>
      <c r="F42" s="313"/>
    </row>
    <row r="43" spans="2:6">
      <c r="B43" s="313"/>
      <c r="C43" s="313"/>
      <c r="D43" s="313"/>
      <c r="E43" s="313"/>
      <c r="F43" s="313"/>
    </row>
    <row r="44" spans="2:6">
      <c r="B44" s="313"/>
      <c r="C44" s="313"/>
      <c r="D44" s="313"/>
      <c r="E44" s="313"/>
      <c r="F44" s="313"/>
    </row>
    <row r="45" spans="2:6">
      <c r="B45" s="313"/>
      <c r="C45" s="313"/>
      <c r="D45" s="313"/>
      <c r="E45" s="313"/>
      <c r="F45" s="313"/>
    </row>
    <row r="46" spans="2:6">
      <c r="B46" s="313"/>
      <c r="C46" s="313"/>
      <c r="D46" s="313"/>
      <c r="E46" s="313"/>
      <c r="F46" s="313"/>
    </row>
    <row r="47" spans="2:6">
      <c r="B47" s="313"/>
      <c r="C47" s="313"/>
      <c r="D47" s="313"/>
      <c r="E47" s="313"/>
      <c r="F47" s="313"/>
    </row>
    <row r="48" spans="2:6">
      <c r="B48" s="313"/>
      <c r="C48" s="313"/>
      <c r="D48" s="313"/>
      <c r="E48" s="313"/>
      <c r="F48" s="313"/>
    </row>
    <row r="49" spans="2:6">
      <c r="B49" s="313"/>
      <c r="C49" s="313"/>
      <c r="D49" s="313"/>
      <c r="E49" s="313"/>
      <c r="F49" s="313"/>
    </row>
    <row r="50" spans="2:6">
      <c r="B50" s="313"/>
      <c r="C50" s="313"/>
      <c r="D50" s="313"/>
      <c r="E50" s="313"/>
      <c r="F50" s="313"/>
    </row>
  </sheetData>
  <mergeCells count="5">
    <mergeCell ref="A1:H1"/>
    <mergeCell ref="B3:C3"/>
    <mergeCell ref="B32:F38"/>
    <mergeCell ref="B40:C40"/>
    <mergeCell ref="B41:F50"/>
  </mergeCells>
  <pageMargins left="0.7" right="0.7" top="0.75" bottom="0.75" header="0.3" footer="0.3"/>
  <pageSetup scale="81"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5213-2B52-4136-AAC2-2FE9CA2B9F3A}">
  <sheetPr>
    <tabColor rgb="FF92D050"/>
    <pageSetUpPr fitToPage="1"/>
  </sheetPr>
  <dimension ref="A1:Q97"/>
  <sheetViews>
    <sheetView tabSelected="1" topLeftCell="A19" zoomScale="55" zoomScaleNormal="55" zoomScalePageLayoutView="55" workbookViewId="0">
      <selection activeCell="Q40" sqref="Q40"/>
    </sheetView>
  </sheetViews>
  <sheetFormatPr defaultColWidth="7.54296875" defaultRowHeight="14.5"/>
  <cols>
    <col min="1" max="1" width="16.54296875" bestFit="1" customWidth="1"/>
    <col min="2" max="2" width="32.26953125" bestFit="1" customWidth="1"/>
    <col min="3" max="3" width="11.81640625" bestFit="1" customWidth="1"/>
    <col min="4" max="4" width="11.453125" bestFit="1" customWidth="1"/>
    <col min="5" max="10" width="11.81640625" bestFit="1" customWidth="1"/>
    <col min="11" max="14" width="12.1796875" bestFit="1" customWidth="1"/>
    <col min="15" max="15" width="13.1796875" bestFit="1" customWidth="1"/>
    <col min="17" max="17" width="8.54296875" bestFit="1" customWidth="1"/>
  </cols>
  <sheetData>
    <row r="1" spans="1:15" ht="15" thickBot="1">
      <c r="B1" s="320" t="s">
        <v>108</v>
      </c>
      <c r="C1" s="320"/>
      <c r="D1" s="320"/>
      <c r="E1" s="320"/>
      <c r="F1" s="320"/>
      <c r="G1" s="320"/>
    </row>
    <row r="2" spans="1:15">
      <c r="B2" s="314" t="s">
        <v>109</v>
      </c>
      <c r="C2" s="315"/>
      <c r="D2" s="315"/>
      <c r="E2" s="315"/>
      <c r="F2" s="315"/>
      <c r="G2" s="316"/>
    </row>
    <row r="3" spans="1:15" ht="15" thickBot="1">
      <c r="B3" s="317" t="s">
        <v>110</v>
      </c>
      <c r="C3" s="318"/>
      <c r="D3" s="318"/>
      <c r="E3" s="318"/>
      <c r="F3" s="318"/>
      <c r="G3" s="319"/>
    </row>
    <row r="5" spans="1:15">
      <c r="A5" s="17"/>
      <c r="B5" s="17"/>
      <c r="C5" s="115">
        <v>46047</v>
      </c>
      <c r="D5" s="115">
        <v>46078</v>
      </c>
      <c r="E5" s="115">
        <v>46106</v>
      </c>
      <c r="F5" s="115">
        <v>46137</v>
      </c>
      <c r="G5" s="115">
        <v>46167</v>
      </c>
      <c r="H5" s="115">
        <v>46198</v>
      </c>
      <c r="I5" s="115">
        <v>46228</v>
      </c>
      <c r="J5" s="115">
        <v>46259</v>
      </c>
      <c r="K5" s="115">
        <v>46290</v>
      </c>
      <c r="L5" s="115">
        <v>46320</v>
      </c>
      <c r="M5" s="115">
        <v>46351</v>
      </c>
      <c r="N5" s="115">
        <v>46381</v>
      </c>
      <c r="O5" s="116" t="s">
        <v>49</v>
      </c>
    </row>
    <row r="6" spans="1:15">
      <c r="A6" s="117" t="s">
        <v>111</v>
      </c>
      <c r="B6" s="186" t="s">
        <v>112</v>
      </c>
      <c r="C6" s="185"/>
      <c r="D6" s="77"/>
      <c r="E6" s="77"/>
      <c r="F6" s="77"/>
      <c r="G6" s="77"/>
      <c r="H6" s="77"/>
      <c r="I6" s="77"/>
      <c r="J6" s="77"/>
      <c r="K6" s="77"/>
      <c r="L6" s="77"/>
      <c r="M6" s="77"/>
      <c r="N6" s="77"/>
      <c r="O6" s="77"/>
    </row>
    <row r="7" spans="1:15">
      <c r="A7" s="118" t="s">
        <v>113</v>
      </c>
      <c r="B7" s="129" t="s">
        <v>114</v>
      </c>
      <c r="C7" s="119">
        <f>Sales!B30</f>
        <v>1512.8999999999999</v>
      </c>
      <c r="D7" s="119">
        <f>Sales!C30</f>
        <v>1512.8999999999999</v>
      </c>
      <c r="E7" s="119">
        <f>Sales!D30</f>
        <v>2420.64</v>
      </c>
      <c r="F7" s="119">
        <f>Sales!E30</f>
        <v>3328.38</v>
      </c>
      <c r="G7" s="119">
        <f>Sales!F30</f>
        <v>4236.12</v>
      </c>
      <c r="H7" s="119">
        <f>Sales!G30</f>
        <v>3025.7999999999997</v>
      </c>
      <c r="I7" s="119">
        <f>Sales!H30</f>
        <v>2118.06</v>
      </c>
      <c r="J7" s="119">
        <f>Sales!I30</f>
        <v>2420.64</v>
      </c>
      <c r="K7" s="119">
        <f>Sales!J30</f>
        <v>3630.9599999999996</v>
      </c>
      <c r="L7" s="119">
        <f>Sales!K30</f>
        <v>3933.54</v>
      </c>
      <c r="M7" s="119">
        <f>Sales!L30</f>
        <v>1815.4799999999998</v>
      </c>
      <c r="N7" s="119">
        <f>Sales!M30</f>
        <v>302.58</v>
      </c>
      <c r="O7" s="119">
        <f>Sales!N30</f>
        <v>30258</v>
      </c>
    </row>
    <row r="8" spans="1:15">
      <c r="A8" s="120" t="s">
        <v>113</v>
      </c>
      <c r="B8" s="77" t="s">
        <v>115</v>
      </c>
      <c r="C8" s="119">
        <f>Sales!B31</f>
        <v>3530.1</v>
      </c>
      <c r="D8" s="119">
        <f>Sales!C31</f>
        <v>3530.1</v>
      </c>
      <c r="E8" s="119">
        <f>Sales!D31</f>
        <v>5648.16</v>
      </c>
      <c r="F8" s="119">
        <f>Sales!E31</f>
        <v>7766.2199999999993</v>
      </c>
      <c r="G8" s="119">
        <f>Sales!F31</f>
        <v>9884.2800000000007</v>
      </c>
      <c r="H8" s="119">
        <f>Sales!G31</f>
        <v>7060.2</v>
      </c>
      <c r="I8" s="119">
        <f>Sales!H31</f>
        <v>4942.1400000000003</v>
      </c>
      <c r="J8" s="119">
        <f>Sales!I31</f>
        <v>5648.16</v>
      </c>
      <c r="K8" s="119">
        <f>Sales!J31</f>
        <v>8472.239999999998</v>
      </c>
      <c r="L8" s="119">
        <f>Sales!K31</f>
        <v>9178.26</v>
      </c>
      <c r="M8" s="119">
        <f>Sales!L31</f>
        <v>4236.119999999999</v>
      </c>
      <c r="N8" s="119">
        <f>Sales!M31</f>
        <v>706.02</v>
      </c>
      <c r="O8" s="119">
        <f>Sales!N31</f>
        <v>70602</v>
      </c>
    </row>
    <row r="9" spans="1:15">
      <c r="A9" s="120" t="s">
        <v>113</v>
      </c>
      <c r="B9" s="114" t="s">
        <v>116</v>
      </c>
      <c r="C9" s="121">
        <f>Sales!B29</f>
        <v>5043</v>
      </c>
      <c r="D9" s="121">
        <f>Sales!C29</f>
        <v>5043</v>
      </c>
      <c r="E9" s="121">
        <f>Sales!D29</f>
        <v>8068.8</v>
      </c>
      <c r="F9" s="121">
        <f>Sales!E29</f>
        <v>11094.6</v>
      </c>
      <c r="G9" s="121">
        <f>Sales!F29</f>
        <v>14120.400000000001</v>
      </c>
      <c r="H9" s="121">
        <f>Sales!G29</f>
        <v>10086</v>
      </c>
      <c r="I9" s="121">
        <f>Sales!H29</f>
        <v>7060.2000000000007</v>
      </c>
      <c r="J9" s="121">
        <f>Sales!I29</f>
        <v>8068.8</v>
      </c>
      <c r="K9" s="121">
        <f>Sales!J29</f>
        <v>12103.199999999999</v>
      </c>
      <c r="L9" s="121">
        <f>Sales!K29</f>
        <v>13111.800000000001</v>
      </c>
      <c r="M9" s="121">
        <f>Sales!L29</f>
        <v>6051.5999999999995</v>
      </c>
      <c r="N9" s="121">
        <f>Sales!M29</f>
        <v>1008.6</v>
      </c>
      <c r="O9" s="121">
        <f>Sales!N29</f>
        <v>100860.00000000001</v>
      </c>
    </row>
    <row r="10" spans="1:15">
      <c r="A10" s="120" t="s">
        <v>113</v>
      </c>
      <c r="B10" s="77" t="s">
        <v>117</v>
      </c>
      <c r="C10" s="122">
        <f>Sales!B33</f>
        <v>2017.1999999999998</v>
      </c>
      <c r="D10" s="122">
        <f>Sales!C33</f>
        <v>2017.1999999999998</v>
      </c>
      <c r="E10" s="122">
        <f>Sales!D33</f>
        <v>3227.52</v>
      </c>
      <c r="F10" s="122">
        <f>Sales!E33</f>
        <v>4437.8399999999992</v>
      </c>
      <c r="G10" s="122">
        <f>Sales!F33</f>
        <v>5648.16</v>
      </c>
      <c r="H10" s="122">
        <f>Sales!G33</f>
        <v>4034.3999999999996</v>
      </c>
      <c r="I10" s="122">
        <f>Sales!H33</f>
        <v>2824.08</v>
      </c>
      <c r="J10" s="122">
        <f>Sales!I33</f>
        <v>3227.52</v>
      </c>
      <c r="K10" s="122">
        <f>Sales!J33</f>
        <v>4841.28</v>
      </c>
      <c r="L10" s="122">
        <f>Sales!K33</f>
        <v>5244.72</v>
      </c>
      <c r="M10" s="122">
        <f>Sales!L33</f>
        <v>2420.64</v>
      </c>
      <c r="N10" s="122">
        <f>Sales!M33</f>
        <v>403.44</v>
      </c>
      <c r="O10" s="122">
        <f>Sales!N33</f>
        <v>40344</v>
      </c>
    </row>
    <row r="11" spans="1:15">
      <c r="A11" s="120" t="s">
        <v>113</v>
      </c>
      <c r="B11" s="77" t="s">
        <v>118</v>
      </c>
      <c r="C11" s="122">
        <f>Sales!B34</f>
        <v>1344.8000000000002</v>
      </c>
      <c r="D11" s="122">
        <f>Sales!C34</f>
        <v>1344.8000000000002</v>
      </c>
      <c r="E11" s="122">
        <f>Sales!D34</f>
        <v>2151.6799999999998</v>
      </c>
      <c r="F11" s="122">
        <f>Sales!E34</f>
        <v>2958.56</v>
      </c>
      <c r="G11" s="122">
        <f>Sales!F34</f>
        <v>3765.4400000000005</v>
      </c>
      <c r="H11" s="122">
        <f>Sales!G34</f>
        <v>2689.6000000000004</v>
      </c>
      <c r="I11" s="122">
        <f>Sales!H34</f>
        <v>1882.7200000000003</v>
      </c>
      <c r="J11" s="122">
        <f>Sales!I34</f>
        <v>2151.6799999999998</v>
      </c>
      <c r="K11" s="122">
        <f>Sales!J34</f>
        <v>3227.52</v>
      </c>
      <c r="L11" s="122">
        <f>Sales!K34</f>
        <v>3496.4800000000005</v>
      </c>
      <c r="M11" s="122">
        <f>Sales!L34</f>
        <v>1613.76</v>
      </c>
      <c r="N11" s="122">
        <f>Sales!M34</f>
        <v>268.95999999999998</v>
      </c>
      <c r="O11" s="122">
        <f>Sales!N34</f>
        <v>26896</v>
      </c>
    </row>
    <row r="12" spans="1:15" ht="15" thickBot="1">
      <c r="A12" s="120" t="s">
        <v>113</v>
      </c>
      <c r="B12" s="123" t="s">
        <v>119</v>
      </c>
      <c r="C12" s="124">
        <f>Sales!B32</f>
        <v>3362</v>
      </c>
      <c r="D12" s="124">
        <f>Sales!C32</f>
        <v>3362</v>
      </c>
      <c r="E12" s="124">
        <f>Sales!D32</f>
        <v>5379.2</v>
      </c>
      <c r="F12" s="124">
        <f>Sales!E32</f>
        <v>7396.4</v>
      </c>
      <c r="G12" s="124">
        <f>Sales!F32</f>
        <v>9413.6</v>
      </c>
      <c r="H12" s="124">
        <f>Sales!G32</f>
        <v>6724</v>
      </c>
      <c r="I12" s="124">
        <f>Sales!H32</f>
        <v>4706.8</v>
      </c>
      <c r="J12" s="124">
        <f>Sales!I32</f>
        <v>5379.2</v>
      </c>
      <c r="K12" s="124">
        <f>Sales!J32</f>
        <v>8068.7999999999993</v>
      </c>
      <c r="L12" s="124">
        <f>Sales!K32</f>
        <v>8741.2000000000007</v>
      </c>
      <c r="M12" s="124">
        <f>Sales!L32</f>
        <v>4034.3999999999996</v>
      </c>
      <c r="N12" s="124">
        <f>Sales!M32</f>
        <v>672.4</v>
      </c>
      <c r="O12" s="124">
        <f>Sales!N32</f>
        <v>67239.999999999985</v>
      </c>
    </row>
    <row r="13" spans="1:15" ht="15" thickBot="1">
      <c r="A13" s="125" t="s">
        <v>113</v>
      </c>
      <c r="B13" s="126" t="s">
        <v>120</v>
      </c>
      <c r="C13" s="127">
        <f>Sales!B35</f>
        <v>8405</v>
      </c>
      <c r="D13" s="127">
        <f>Sales!C35</f>
        <v>8405</v>
      </c>
      <c r="E13" s="127">
        <f>Sales!D35</f>
        <v>13448</v>
      </c>
      <c r="F13" s="127">
        <f>Sales!E35</f>
        <v>18491</v>
      </c>
      <c r="G13" s="127">
        <f>Sales!F35</f>
        <v>23534</v>
      </c>
      <c r="H13" s="127">
        <f>Sales!G35</f>
        <v>16810</v>
      </c>
      <c r="I13" s="127">
        <f>Sales!H35</f>
        <v>11767</v>
      </c>
      <c r="J13" s="127">
        <f>Sales!I35</f>
        <v>13448</v>
      </c>
      <c r="K13" s="127">
        <f>Sales!J35</f>
        <v>20172</v>
      </c>
      <c r="L13" s="127">
        <f>Sales!K35</f>
        <v>21853</v>
      </c>
      <c r="M13" s="127">
        <f>Sales!L35</f>
        <v>10086</v>
      </c>
      <c r="N13" s="127">
        <f>Sales!M35</f>
        <v>1681</v>
      </c>
      <c r="O13" s="128">
        <f>Sales!N35</f>
        <v>168100</v>
      </c>
    </row>
    <row r="14" spans="1:15">
      <c r="A14" s="120" t="s">
        <v>16</v>
      </c>
      <c r="B14" s="129" t="s">
        <v>121</v>
      </c>
      <c r="C14" s="130">
        <f>Startup!B39</f>
        <v>50000</v>
      </c>
      <c r="D14" s="130">
        <v>0</v>
      </c>
      <c r="E14" s="130">
        <v>0</v>
      </c>
      <c r="F14" s="130">
        <v>0</v>
      </c>
      <c r="G14" s="130">
        <v>0</v>
      </c>
      <c r="H14" s="130">
        <v>0</v>
      </c>
      <c r="I14" s="130">
        <v>0</v>
      </c>
      <c r="J14" s="130">
        <v>0</v>
      </c>
      <c r="K14" s="130">
        <v>0</v>
      </c>
      <c r="L14" s="130">
        <v>0</v>
      </c>
      <c r="M14" s="130">
        <v>0</v>
      </c>
      <c r="N14" s="130">
        <v>0</v>
      </c>
      <c r="O14" s="130">
        <f>SUM(C14:N14)</f>
        <v>50000</v>
      </c>
    </row>
    <row r="15" spans="1:15" ht="15" thickBot="1">
      <c r="A15" s="120" t="s">
        <v>122</v>
      </c>
      <c r="B15" s="136" t="s">
        <v>123</v>
      </c>
      <c r="C15" s="131">
        <v>40000</v>
      </c>
      <c r="D15" s="131">
        <v>0</v>
      </c>
      <c r="E15" s="131">
        <v>0</v>
      </c>
      <c r="F15" s="131">
        <v>0</v>
      </c>
      <c r="G15" s="131">
        <v>0</v>
      </c>
      <c r="H15" s="131">
        <v>0</v>
      </c>
      <c r="I15" s="131">
        <v>0</v>
      </c>
      <c r="J15" s="131">
        <v>0</v>
      </c>
      <c r="K15" s="131">
        <v>0</v>
      </c>
      <c r="L15" s="131">
        <v>0</v>
      </c>
      <c r="M15" s="131">
        <v>0</v>
      </c>
      <c r="N15" s="131">
        <v>0</v>
      </c>
      <c r="O15" s="132">
        <f>SUM(C15:N15)</f>
        <v>40000</v>
      </c>
    </row>
    <row r="16" spans="1:15" ht="15" thickBot="1">
      <c r="A16" s="133"/>
      <c r="B16" s="181" t="s">
        <v>124</v>
      </c>
      <c r="C16" s="182">
        <f>C13+C14+C15</f>
        <v>98405</v>
      </c>
      <c r="D16" s="182">
        <f t="shared" ref="D16:O16" si="0">D13+D14</f>
        <v>8405</v>
      </c>
      <c r="E16" s="182">
        <f t="shared" si="0"/>
        <v>13448</v>
      </c>
      <c r="F16" s="182">
        <f t="shared" si="0"/>
        <v>18491</v>
      </c>
      <c r="G16" s="182">
        <f t="shared" si="0"/>
        <v>23534</v>
      </c>
      <c r="H16" s="182">
        <f t="shared" si="0"/>
        <v>16810</v>
      </c>
      <c r="I16" s="182">
        <f t="shared" si="0"/>
        <v>11767</v>
      </c>
      <c r="J16" s="182">
        <f t="shared" si="0"/>
        <v>13448</v>
      </c>
      <c r="K16" s="182">
        <f t="shared" si="0"/>
        <v>20172</v>
      </c>
      <c r="L16" s="182">
        <f t="shared" si="0"/>
        <v>21853</v>
      </c>
      <c r="M16" s="182">
        <f t="shared" si="0"/>
        <v>10086</v>
      </c>
      <c r="N16" s="182">
        <f t="shared" si="0"/>
        <v>1681</v>
      </c>
      <c r="O16" s="183">
        <f t="shared" si="0"/>
        <v>218100</v>
      </c>
    </row>
    <row r="17" spans="1:16" ht="15" thickTop="1"/>
    <row r="18" spans="1:16">
      <c r="C18" s="166">
        <v>46047</v>
      </c>
      <c r="D18" s="166">
        <v>46078</v>
      </c>
      <c r="E18" s="166">
        <v>46106</v>
      </c>
      <c r="F18" s="166">
        <v>46137</v>
      </c>
      <c r="G18" s="166">
        <v>46167</v>
      </c>
      <c r="H18" s="166">
        <v>46198</v>
      </c>
      <c r="I18" s="166">
        <v>46228</v>
      </c>
      <c r="J18" s="166">
        <v>46259</v>
      </c>
      <c r="K18" s="166">
        <v>46290</v>
      </c>
      <c r="L18" s="166">
        <v>46320</v>
      </c>
      <c r="M18" s="166">
        <v>46351</v>
      </c>
      <c r="N18" s="166">
        <v>46381</v>
      </c>
      <c r="O18" s="46" t="s">
        <v>125</v>
      </c>
    </row>
    <row r="19" spans="1:16">
      <c r="A19" s="46" t="s">
        <v>126</v>
      </c>
      <c r="B19" s="175" t="s">
        <v>127</v>
      </c>
      <c r="C19" s="3"/>
      <c r="D19" s="1"/>
      <c r="E19" s="1"/>
      <c r="F19" s="1"/>
      <c r="G19" s="1"/>
      <c r="H19" s="1"/>
      <c r="I19" s="1"/>
      <c r="J19" s="1"/>
      <c r="K19" s="1"/>
      <c r="L19" s="1"/>
      <c r="M19" s="1"/>
      <c r="N19" s="1"/>
      <c r="O19" s="1"/>
    </row>
    <row r="20" spans="1:16">
      <c r="A20" t="s">
        <v>128</v>
      </c>
      <c r="B20" s="177" t="s">
        <v>129</v>
      </c>
      <c r="C20" s="187">
        <f>Startup!C22</f>
        <v>58000</v>
      </c>
      <c r="D20" s="187">
        <v>0</v>
      </c>
      <c r="E20" s="187">
        <v>0</v>
      </c>
      <c r="F20" s="187">
        <v>0</v>
      </c>
      <c r="G20" s="187">
        <v>0</v>
      </c>
      <c r="H20" s="187">
        <v>0</v>
      </c>
      <c r="I20" s="187">
        <v>0</v>
      </c>
      <c r="J20" s="187">
        <v>0</v>
      </c>
      <c r="K20" s="187">
        <v>0</v>
      </c>
      <c r="L20" s="187">
        <v>0</v>
      </c>
      <c r="M20" s="187">
        <v>0</v>
      </c>
      <c r="N20" s="187">
        <v>0</v>
      </c>
      <c r="O20" s="187">
        <f t="shared" ref="O20:O30" si="1">SUM(C20:N20)</f>
        <v>58000</v>
      </c>
    </row>
    <row r="21" spans="1:16">
      <c r="A21" t="s">
        <v>130</v>
      </c>
      <c r="B21" s="1" t="s">
        <v>131</v>
      </c>
      <c r="C21" s="187">
        <f>'HR Exp'!B21+'HR Exp'!B24</f>
        <v>3520</v>
      </c>
      <c r="D21" s="187">
        <f>'HR Exp'!C21+'HR Exp'!C24</f>
        <v>3520</v>
      </c>
      <c r="E21" s="187">
        <f>'HR Exp'!D21+'HR Exp'!D24</f>
        <v>3520</v>
      </c>
      <c r="F21" s="187">
        <f>'HR Exp'!E21+'HR Exp'!E24</f>
        <v>3520</v>
      </c>
      <c r="G21" s="187">
        <f>'HR Exp'!F21+'HR Exp'!F24</f>
        <v>4600</v>
      </c>
      <c r="H21" s="187">
        <f>'HR Exp'!G21+'HR Exp'!G24</f>
        <v>4600</v>
      </c>
      <c r="I21" s="187">
        <f>'HR Exp'!H21+'HR Exp'!H24</f>
        <v>4060</v>
      </c>
      <c r="J21" s="187">
        <f>'HR Exp'!I21+'HR Exp'!I24</f>
        <v>4600</v>
      </c>
      <c r="K21" s="187">
        <f>'HR Exp'!J21+'HR Exp'!J24</f>
        <v>5140</v>
      </c>
      <c r="L21" s="187">
        <f>'HR Exp'!K21+'HR Exp'!K24</f>
        <v>5320</v>
      </c>
      <c r="M21" s="187">
        <f>'HR Exp'!L21+'HR Exp'!L24</f>
        <v>4600</v>
      </c>
      <c r="N21" s="187">
        <f>'HR Exp'!M21+'HR Exp'!M24</f>
        <v>3520</v>
      </c>
      <c r="O21" s="187">
        <f>SUM(C21:N21)</f>
        <v>50520</v>
      </c>
    </row>
    <row r="22" spans="1:16">
      <c r="A22" t="s">
        <v>130</v>
      </c>
      <c r="B22" s="1" t="s">
        <v>132</v>
      </c>
      <c r="C22" s="187">
        <f>'HR Exp'!B22+'HR Exp'!B25</f>
        <v>739.19999999999993</v>
      </c>
      <c r="D22" s="187">
        <f>'HR Exp'!C22+'HR Exp'!C25</f>
        <v>739.19999999999993</v>
      </c>
      <c r="E22" s="187">
        <f>'HR Exp'!D22+'HR Exp'!D25</f>
        <v>739.19999999999993</v>
      </c>
      <c r="F22" s="187">
        <f>'HR Exp'!E22+'HR Exp'!E25</f>
        <v>739.19999999999993</v>
      </c>
      <c r="G22" s="187">
        <f>'HR Exp'!F22+'HR Exp'!F25</f>
        <v>933.59999999999991</v>
      </c>
      <c r="H22" s="187">
        <f>'HR Exp'!G22+'HR Exp'!G25</f>
        <v>933.59999999999991</v>
      </c>
      <c r="I22" s="187">
        <f>'HR Exp'!H22+'HR Exp'!H25</f>
        <v>836.4</v>
      </c>
      <c r="J22" s="187">
        <f>'HR Exp'!I22+'HR Exp'!I25</f>
        <v>933.59999999999991</v>
      </c>
      <c r="K22" s="187">
        <f>'HR Exp'!J22+'HR Exp'!J25</f>
        <v>1030.8</v>
      </c>
      <c r="L22" s="187">
        <f>'HR Exp'!K22+'HR Exp'!K25</f>
        <v>1063.1999999999998</v>
      </c>
      <c r="M22" s="187">
        <f>'HR Exp'!L22+'HR Exp'!L25</f>
        <v>933.59999999999991</v>
      </c>
      <c r="N22" s="187">
        <f>'HR Exp'!M22+'HR Exp'!M25</f>
        <v>739.19999999999993</v>
      </c>
      <c r="O22" s="187">
        <f t="shared" si="1"/>
        <v>10360.800000000001</v>
      </c>
    </row>
    <row r="23" spans="1:16">
      <c r="A23" t="s">
        <v>133</v>
      </c>
      <c r="B23" s="1" t="s">
        <v>134</v>
      </c>
      <c r="C23" s="188">
        <v>840</v>
      </c>
      <c r="D23" s="188">
        <v>840</v>
      </c>
      <c r="E23" s="188">
        <v>1345</v>
      </c>
      <c r="F23" s="188">
        <v>1849</v>
      </c>
      <c r="G23" s="188">
        <v>2353</v>
      </c>
      <c r="H23" s="188">
        <v>1681</v>
      </c>
      <c r="I23" s="188">
        <v>1177</v>
      </c>
      <c r="J23" s="188">
        <v>1345</v>
      </c>
      <c r="K23" s="188">
        <v>2017</v>
      </c>
      <c r="L23" s="188">
        <v>2185</v>
      </c>
      <c r="M23" s="188">
        <v>1009</v>
      </c>
      <c r="N23" s="188">
        <v>168</v>
      </c>
      <c r="O23" s="187">
        <f t="shared" si="1"/>
        <v>16809</v>
      </c>
    </row>
    <row r="24" spans="1:16">
      <c r="A24" t="s">
        <v>135</v>
      </c>
      <c r="B24" s="1" t="s">
        <v>136</v>
      </c>
      <c r="C24" s="188">
        <v>300</v>
      </c>
      <c r="D24" s="188">
        <v>300</v>
      </c>
      <c r="E24" s="188">
        <v>380</v>
      </c>
      <c r="F24" s="188">
        <v>460</v>
      </c>
      <c r="G24" s="188">
        <v>540</v>
      </c>
      <c r="H24" s="188">
        <v>420</v>
      </c>
      <c r="I24" s="188">
        <v>340</v>
      </c>
      <c r="J24" s="188">
        <v>380</v>
      </c>
      <c r="K24" s="188">
        <v>460</v>
      </c>
      <c r="L24" s="188">
        <v>500</v>
      </c>
      <c r="M24" s="188">
        <v>340</v>
      </c>
      <c r="N24" s="188">
        <v>180</v>
      </c>
      <c r="O24" s="187">
        <f t="shared" si="1"/>
        <v>4600</v>
      </c>
    </row>
    <row r="25" spans="1:16">
      <c r="A25" t="s">
        <v>135</v>
      </c>
      <c r="B25" s="1" t="s">
        <v>137</v>
      </c>
      <c r="C25" s="188">
        <v>200</v>
      </c>
      <c r="D25" s="188">
        <v>200</v>
      </c>
      <c r="E25" s="188">
        <v>200</v>
      </c>
      <c r="F25" s="188">
        <v>200</v>
      </c>
      <c r="G25" s="188">
        <v>200</v>
      </c>
      <c r="H25" s="188">
        <v>200</v>
      </c>
      <c r="I25" s="188">
        <v>200</v>
      </c>
      <c r="J25" s="188">
        <v>200</v>
      </c>
      <c r="K25" s="188">
        <v>200</v>
      </c>
      <c r="L25" s="188">
        <v>200</v>
      </c>
      <c r="M25" s="188">
        <v>200</v>
      </c>
      <c r="N25" s="188">
        <v>200</v>
      </c>
      <c r="O25" s="187">
        <f t="shared" si="1"/>
        <v>2400</v>
      </c>
      <c r="P25" s="135"/>
    </row>
    <row r="26" spans="1:16">
      <c r="A26" t="s">
        <v>135</v>
      </c>
      <c r="B26" s="1" t="s">
        <v>138</v>
      </c>
      <c r="C26" s="187">
        <f>'Other Exp'!B6</f>
        <v>325</v>
      </c>
      <c r="D26" s="187">
        <f>'Other Exp'!C6</f>
        <v>325</v>
      </c>
      <c r="E26" s="187">
        <f>'Other Exp'!D6</f>
        <v>325</v>
      </c>
      <c r="F26" s="187">
        <f>'Other Exp'!E6</f>
        <v>325</v>
      </c>
      <c r="G26" s="187">
        <f>'Other Exp'!F6</f>
        <v>325</v>
      </c>
      <c r="H26" s="187">
        <f>'Other Exp'!G6</f>
        <v>325</v>
      </c>
      <c r="I26" s="187">
        <f>'Other Exp'!H6</f>
        <v>325</v>
      </c>
      <c r="J26" s="187">
        <f>'Other Exp'!I6</f>
        <v>325</v>
      </c>
      <c r="K26" s="187">
        <f>'Other Exp'!J6</f>
        <v>325</v>
      </c>
      <c r="L26" s="187">
        <f>'Other Exp'!K6</f>
        <v>325</v>
      </c>
      <c r="M26" s="187">
        <f>'Other Exp'!L6</f>
        <v>325</v>
      </c>
      <c r="N26" s="187">
        <f>'Other Exp'!M6</f>
        <v>325</v>
      </c>
      <c r="O26" s="187">
        <f t="shared" si="1"/>
        <v>3900</v>
      </c>
    </row>
    <row r="27" spans="1:16">
      <c r="A27" t="s">
        <v>135</v>
      </c>
      <c r="B27" s="1" t="s">
        <v>139</v>
      </c>
      <c r="C27" s="187">
        <f>'Other Exp'!B7</f>
        <v>350</v>
      </c>
      <c r="D27" s="187">
        <f>'Other Exp'!C7</f>
        <v>350</v>
      </c>
      <c r="E27" s="187">
        <f>'Other Exp'!D7</f>
        <v>350</v>
      </c>
      <c r="F27" s="187">
        <f>'Other Exp'!E7</f>
        <v>350</v>
      </c>
      <c r="G27" s="187">
        <f>'Other Exp'!F7</f>
        <v>350</v>
      </c>
      <c r="H27" s="187">
        <f>'Other Exp'!G7</f>
        <v>350</v>
      </c>
      <c r="I27" s="187">
        <f>'Other Exp'!H7</f>
        <v>350</v>
      </c>
      <c r="J27" s="187">
        <f>'Other Exp'!I7</f>
        <v>350</v>
      </c>
      <c r="K27" s="187">
        <f>'Other Exp'!J7</f>
        <v>350</v>
      </c>
      <c r="L27" s="187">
        <f>'Other Exp'!K7</f>
        <v>350</v>
      </c>
      <c r="M27" s="187">
        <f>'Other Exp'!L7</f>
        <v>350</v>
      </c>
      <c r="N27" s="187">
        <f>'Other Exp'!M7</f>
        <v>350</v>
      </c>
      <c r="O27" s="187">
        <f t="shared" si="1"/>
        <v>4200</v>
      </c>
    </row>
    <row r="28" spans="1:16">
      <c r="A28" t="s">
        <v>140</v>
      </c>
      <c r="B28" s="1" t="s">
        <v>141</v>
      </c>
      <c r="C28" s="187">
        <f>Marketing!B31+Marketing!B38+Marketing!B13</f>
        <v>20822.400000000001</v>
      </c>
      <c r="D28" s="187">
        <f>Marketing!C13</f>
        <v>672.40000000000009</v>
      </c>
      <c r="E28" s="187">
        <f>Marketing!D13</f>
        <v>1075.8399999999999</v>
      </c>
      <c r="F28" s="187">
        <f>Marketing!E13</f>
        <v>1479.28</v>
      </c>
      <c r="G28" s="187">
        <f>Marketing!F13</f>
        <v>1882.7200000000003</v>
      </c>
      <c r="H28" s="187">
        <f>Marketing!G13</f>
        <v>1344.8000000000002</v>
      </c>
      <c r="I28" s="187">
        <f>Marketing!H13</f>
        <v>941.36000000000013</v>
      </c>
      <c r="J28" s="187">
        <f>Marketing!I13</f>
        <v>1075.8399999999999</v>
      </c>
      <c r="K28" s="187">
        <f>Marketing!J13</f>
        <v>1613.76</v>
      </c>
      <c r="L28" s="187">
        <f>Marketing!K13</f>
        <v>1748.24</v>
      </c>
      <c r="M28" s="187">
        <f>Marketing!L13</f>
        <v>806.88</v>
      </c>
      <c r="N28" s="187">
        <f>Marketing!M13</f>
        <v>134.47999999999999</v>
      </c>
      <c r="O28" s="187">
        <f t="shared" si="1"/>
        <v>33598.000000000007</v>
      </c>
    </row>
    <row r="29" spans="1:16">
      <c r="A29" t="s">
        <v>135</v>
      </c>
      <c r="B29" s="1" t="s">
        <v>142</v>
      </c>
      <c r="C29" s="187">
        <f>'Other Exp'!B8</f>
        <v>300</v>
      </c>
      <c r="D29" s="187">
        <f>'Other Exp'!C8</f>
        <v>300</v>
      </c>
      <c r="E29" s="187">
        <f>'Other Exp'!D8</f>
        <v>300</v>
      </c>
      <c r="F29" s="187">
        <f>'Other Exp'!E8</f>
        <v>300</v>
      </c>
      <c r="G29" s="187">
        <f>'Other Exp'!F8</f>
        <v>300</v>
      </c>
      <c r="H29" s="187">
        <f>'Other Exp'!G8</f>
        <v>300</v>
      </c>
      <c r="I29" s="187">
        <f>'Other Exp'!H8</f>
        <v>300</v>
      </c>
      <c r="J29" s="187">
        <f>'Other Exp'!I8</f>
        <v>300</v>
      </c>
      <c r="K29" s="187">
        <f>'Other Exp'!J8</f>
        <v>300</v>
      </c>
      <c r="L29" s="187">
        <f>'Other Exp'!K8</f>
        <v>300</v>
      </c>
      <c r="M29" s="187">
        <f>'Other Exp'!L8</f>
        <v>300</v>
      </c>
      <c r="N29" s="187">
        <f>'Other Exp'!M8</f>
        <v>300</v>
      </c>
      <c r="O29" s="187">
        <f t="shared" si="1"/>
        <v>3600</v>
      </c>
    </row>
    <row r="30" spans="1:16">
      <c r="A30" t="s">
        <v>135</v>
      </c>
      <c r="B30" s="1" t="s">
        <v>143</v>
      </c>
      <c r="C30" s="187">
        <v>350</v>
      </c>
      <c r="D30" s="187">
        <v>350</v>
      </c>
      <c r="E30" s="187">
        <v>350</v>
      </c>
      <c r="F30" s="187">
        <v>350</v>
      </c>
      <c r="G30" s="187">
        <v>350</v>
      </c>
      <c r="H30" s="187">
        <v>350</v>
      </c>
      <c r="I30" s="187">
        <v>350</v>
      </c>
      <c r="J30" s="187">
        <v>350</v>
      </c>
      <c r="K30" s="187">
        <v>350</v>
      </c>
      <c r="L30" s="187">
        <v>350</v>
      </c>
      <c r="M30" s="187">
        <v>350</v>
      </c>
      <c r="N30" s="187">
        <v>350</v>
      </c>
      <c r="O30" s="187">
        <f t="shared" si="1"/>
        <v>4200</v>
      </c>
    </row>
    <row r="31" spans="1:16">
      <c r="B31" s="1" t="s">
        <v>144</v>
      </c>
      <c r="C31" s="187">
        <v>450</v>
      </c>
      <c r="D31" s="187">
        <v>450</v>
      </c>
      <c r="E31" s="187">
        <v>450</v>
      </c>
      <c r="F31" s="187">
        <v>450</v>
      </c>
      <c r="G31" s="187">
        <v>450</v>
      </c>
      <c r="H31" s="187">
        <v>450</v>
      </c>
      <c r="I31" s="187">
        <v>450</v>
      </c>
      <c r="J31" s="187">
        <v>450</v>
      </c>
      <c r="K31" s="187">
        <v>450</v>
      </c>
      <c r="L31" s="187">
        <v>450</v>
      </c>
      <c r="M31" s="187">
        <v>450</v>
      </c>
      <c r="N31" s="187">
        <v>450</v>
      </c>
      <c r="O31" s="187">
        <f t="shared" ref="O31:O40" si="2">SUM(C31:N31)</f>
        <v>5400</v>
      </c>
    </row>
    <row r="32" spans="1:16">
      <c r="A32" t="s">
        <v>135</v>
      </c>
      <c r="B32" s="1" t="s">
        <v>145</v>
      </c>
      <c r="C32" s="187">
        <f>'Other Exp'!B9</f>
        <v>40</v>
      </c>
      <c r="D32" s="187">
        <f>'Other Exp'!C9</f>
        <v>40</v>
      </c>
      <c r="E32" s="187">
        <f>'Other Exp'!D9</f>
        <v>40</v>
      </c>
      <c r="F32" s="187">
        <f>'Other Exp'!E9</f>
        <v>40</v>
      </c>
      <c r="G32" s="187">
        <f>'Other Exp'!F9</f>
        <v>40</v>
      </c>
      <c r="H32" s="187">
        <f>'Other Exp'!G9</f>
        <v>40</v>
      </c>
      <c r="I32" s="187">
        <f>'Other Exp'!H9</f>
        <v>40</v>
      </c>
      <c r="J32" s="187">
        <f>'Other Exp'!I9</f>
        <v>40</v>
      </c>
      <c r="K32" s="187">
        <f>'Other Exp'!J9</f>
        <v>40</v>
      </c>
      <c r="L32" s="187">
        <f>'Other Exp'!K9</f>
        <v>40</v>
      </c>
      <c r="M32" s="187">
        <f>'Other Exp'!L9</f>
        <v>40</v>
      </c>
      <c r="N32" s="187">
        <f>'Other Exp'!M9</f>
        <v>40</v>
      </c>
      <c r="O32" s="187">
        <f t="shared" si="2"/>
        <v>480</v>
      </c>
    </row>
    <row r="33" spans="1:17">
      <c r="A33" t="s">
        <v>135</v>
      </c>
      <c r="B33" s="1" t="s">
        <v>146</v>
      </c>
      <c r="C33" s="187">
        <f>'Other Exp'!B10</f>
        <v>100</v>
      </c>
      <c r="D33" s="187">
        <f>'Other Exp'!C10</f>
        <v>100</v>
      </c>
      <c r="E33" s="187">
        <f>'Other Exp'!D10</f>
        <v>100</v>
      </c>
      <c r="F33" s="187">
        <f>'Other Exp'!E10</f>
        <v>100</v>
      </c>
      <c r="G33" s="187">
        <f>'Other Exp'!F10</f>
        <v>100</v>
      </c>
      <c r="H33" s="187">
        <f>'Other Exp'!G10</f>
        <v>100</v>
      </c>
      <c r="I33" s="187">
        <f>'Other Exp'!H10</f>
        <v>100</v>
      </c>
      <c r="J33" s="187">
        <f>'Other Exp'!I10</f>
        <v>100</v>
      </c>
      <c r="K33" s="187">
        <f>'Other Exp'!J10</f>
        <v>100</v>
      </c>
      <c r="L33" s="187">
        <f>'Other Exp'!K10</f>
        <v>100</v>
      </c>
      <c r="M33" s="187">
        <f>'Other Exp'!L10</f>
        <v>100</v>
      </c>
      <c r="N33" s="187">
        <f>'Other Exp'!M10</f>
        <v>100</v>
      </c>
      <c r="O33" s="187">
        <f t="shared" si="2"/>
        <v>1200</v>
      </c>
    </row>
    <row r="34" spans="1:17" ht="15" thickBot="1">
      <c r="A34" t="s">
        <v>135</v>
      </c>
      <c r="B34" s="4" t="s">
        <v>147</v>
      </c>
      <c r="C34" s="189">
        <f>Financing!$B$3*(Sales!B34+Sales!B31)</f>
        <v>60.936250000000001</v>
      </c>
      <c r="D34" s="189">
        <f>Financing!$B$3*(Sales!C34+Sales!C31)</f>
        <v>60.936250000000001</v>
      </c>
      <c r="E34" s="189">
        <f>Financing!$B$3*(Sales!D34+Sales!D31)</f>
        <v>97.498000000000005</v>
      </c>
      <c r="F34" s="189">
        <f>Financing!$B$3*(Sales!E34+Sales!E31)</f>
        <v>134.05974999999998</v>
      </c>
      <c r="G34" s="189">
        <f>Financing!$B$3*(Sales!F34+Sales!F31)</f>
        <v>170.62150000000003</v>
      </c>
      <c r="H34" s="189">
        <f>Financing!$B$3*(Sales!G34+Sales!G31)</f>
        <v>121.8725</v>
      </c>
      <c r="I34" s="189">
        <f>Financing!$B$3*(Sales!H34+Sales!H31)</f>
        <v>85.310750000000013</v>
      </c>
      <c r="J34" s="189">
        <f>Financing!$B$3*(Sales!I34+Sales!I31)</f>
        <v>97.498000000000005</v>
      </c>
      <c r="K34" s="189">
        <f>Financing!$B$3*(Sales!J34+Sales!J31)</f>
        <v>146.24699999999999</v>
      </c>
      <c r="L34" s="189">
        <f>Financing!$B$3*(Sales!K34+Sales!K31)</f>
        <v>158.43425000000002</v>
      </c>
      <c r="M34" s="189">
        <f>Financing!$B$3*(Sales!L34+Sales!L31)</f>
        <v>73.123499999999993</v>
      </c>
      <c r="N34" s="189">
        <f>Financing!$B$3*(Sales!M34+Sales!M31)</f>
        <v>12.187250000000001</v>
      </c>
      <c r="O34" s="189">
        <f t="shared" si="2"/>
        <v>1218.7249999999999</v>
      </c>
    </row>
    <row r="35" spans="1:17" ht="15" thickBot="1">
      <c r="B35" s="179" t="s">
        <v>148</v>
      </c>
      <c r="C35" s="190">
        <f t="shared" ref="C35:N35" si="3">SUM(C20:C34)</f>
        <v>86397.536250000005</v>
      </c>
      <c r="D35" s="190">
        <f t="shared" si="3"/>
        <v>8247.536250000001</v>
      </c>
      <c r="E35" s="190">
        <f t="shared" si="3"/>
        <v>9272.5380000000005</v>
      </c>
      <c r="F35" s="190">
        <f t="shared" si="3"/>
        <v>10296.53975</v>
      </c>
      <c r="G35" s="190">
        <f t="shared" si="3"/>
        <v>12594.941499999999</v>
      </c>
      <c r="H35" s="190">
        <f t="shared" si="3"/>
        <v>11216.272500000001</v>
      </c>
      <c r="I35" s="190">
        <f t="shared" si="3"/>
        <v>9555.0707500000008</v>
      </c>
      <c r="J35" s="190">
        <f t="shared" si="3"/>
        <v>10546.938</v>
      </c>
      <c r="K35" s="190">
        <f t="shared" si="3"/>
        <v>12522.806999999999</v>
      </c>
      <c r="L35" s="190">
        <f t="shared" si="3"/>
        <v>13089.874250000001</v>
      </c>
      <c r="M35" s="190">
        <f t="shared" si="3"/>
        <v>9877.6034999999993</v>
      </c>
      <c r="N35" s="190">
        <f t="shared" si="3"/>
        <v>6868.8672499999993</v>
      </c>
      <c r="O35" s="194">
        <f t="shared" si="2"/>
        <v>200486.52500000002</v>
      </c>
    </row>
    <row r="36" spans="1:17">
      <c r="A36" t="s">
        <v>26</v>
      </c>
      <c r="B36" s="177" t="s">
        <v>149</v>
      </c>
      <c r="C36" s="191">
        <f>Financing!B26</f>
        <v>0</v>
      </c>
      <c r="D36" s="191">
        <f>Financing!C26</f>
        <v>558.71460828064801</v>
      </c>
      <c r="E36" s="191">
        <f>Financing!D26</f>
        <v>561.97377682895183</v>
      </c>
      <c r="F36" s="191">
        <f>Financing!E26</f>
        <v>565.25195719378735</v>
      </c>
      <c r="G36" s="191">
        <f>Financing!F26</f>
        <v>568.54926027741772</v>
      </c>
      <c r="H36" s="191">
        <f>Financing!G26</f>
        <v>571.86579762903614</v>
      </c>
      <c r="I36" s="191">
        <f>Financing!H26</f>
        <v>575.20168144853881</v>
      </c>
      <c r="J36" s="191">
        <f>Financing!I26</f>
        <v>578.55702459032193</v>
      </c>
      <c r="K36" s="191">
        <f>Financing!J26</f>
        <v>581.93194056709876</v>
      </c>
      <c r="L36" s="191">
        <f>Financing!K26</f>
        <v>585.32654355374018</v>
      </c>
      <c r="M36" s="191">
        <f>Financing!L26</f>
        <v>588.74094839113707</v>
      </c>
      <c r="N36" s="191">
        <f>Financing!M26</f>
        <v>592.17527059008535</v>
      </c>
      <c r="O36" s="191">
        <f t="shared" si="2"/>
        <v>6328.2888093507627</v>
      </c>
    </row>
    <row r="37" spans="1:17">
      <c r="A37" t="s">
        <v>26</v>
      </c>
      <c r="B37" s="1" t="s">
        <v>150</v>
      </c>
      <c r="C37" s="187">
        <f>Financing!B25</f>
        <v>0</v>
      </c>
      <c r="D37" s="187">
        <f>Financing!C25</f>
        <v>233.33333333333334</v>
      </c>
      <c r="E37" s="187">
        <f>Financing!D25</f>
        <v>230.07416478502955</v>
      </c>
      <c r="F37" s="187">
        <f>Financing!E25</f>
        <v>226.795984420194</v>
      </c>
      <c r="G37" s="187">
        <f>Financing!F25</f>
        <v>223.49868133656358</v>
      </c>
      <c r="H37" s="187">
        <f>Financing!G25</f>
        <v>220.18214398494533</v>
      </c>
      <c r="I37" s="187">
        <f>Financing!H25</f>
        <v>216.84626016544263</v>
      </c>
      <c r="J37" s="187">
        <f>Financing!I25</f>
        <v>213.49091702365942</v>
      </c>
      <c r="K37" s="187">
        <f>Financing!J25</f>
        <v>210.11600104688259</v>
      </c>
      <c r="L37" s="187">
        <f>Financing!K25</f>
        <v>206.7213980602412</v>
      </c>
      <c r="M37" s="187">
        <f>Financing!L25</f>
        <v>203.30699322284437</v>
      </c>
      <c r="N37" s="187">
        <f>Financing!M25</f>
        <v>199.87267102389606</v>
      </c>
      <c r="O37" s="187">
        <f t="shared" si="2"/>
        <v>2384.2385484030319</v>
      </c>
    </row>
    <row r="38" spans="1:17" ht="15" thickBot="1">
      <c r="A38" t="s">
        <v>130</v>
      </c>
      <c r="B38" s="4" t="s">
        <v>151</v>
      </c>
      <c r="C38" s="189">
        <v>0</v>
      </c>
      <c r="D38" s="189">
        <v>0</v>
      </c>
      <c r="E38" s="189">
        <v>0</v>
      </c>
      <c r="F38" s="189">
        <f>'HR Exp'!$B$4</f>
        <v>3000</v>
      </c>
      <c r="G38" s="189">
        <f>'HR Exp'!$B$4</f>
        <v>3000</v>
      </c>
      <c r="H38" s="189">
        <f>'HR Exp'!$B$4</f>
        <v>3000</v>
      </c>
      <c r="I38" s="189">
        <f>'HR Exp'!$B$4</f>
        <v>3000</v>
      </c>
      <c r="J38" s="189">
        <f>'HR Exp'!$B$4</f>
        <v>3000</v>
      </c>
      <c r="K38" s="189">
        <f>'HR Exp'!$B$4</f>
        <v>3000</v>
      </c>
      <c r="L38" s="189">
        <f>'HR Exp'!$B$4</f>
        <v>3000</v>
      </c>
      <c r="M38" s="189">
        <f>'HR Exp'!$B$4</f>
        <v>3000</v>
      </c>
      <c r="N38" s="189">
        <f>'HR Exp'!$B$4</f>
        <v>3000</v>
      </c>
      <c r="O38" s="189">
        <f t="shared" si="2"/>
        <v>27000</v>
      </c>
    </row>
    <row r="39" spans="1:17" ht="15" thickBot="1">
      <c r="A39" t="s">
        <v>26</v>
      </c>
      <c r="B39" s="180" t="s">
        <v>152</v>
      </c>
      <c r="C39" s="192">
        <f>SUM(C36:C38)</f>
        <v>0</v>
      </c>
      <c r="D39" s="192">
        <f t="shared" ref="D39:N39" si="4">SUM(D36:D38)</f>
        <v>792.04794161398138</v>
      </c>
      <c r="E39" s="192">
        <f t="shared" si="4"/>
        <v>792.04794161398138</v>
      </c>
      <c r="F39" s="192">
        <f t="shared" si="4"/>
        <v>3792.0479416139815</v>
      </c>
      <c r="G39" s="192">
        <f t="shared" si="4"/>
        <v>3792.0479416139815</v>
      </c>
      <c r="H39" s="192">
        <f t="shared" si="4"/>
        <v>3792.0479416139815</v>
      </c>
      <c r="I39" s="192">
        <f t="shared" si="4"/>
        <v>3792.0479416139815</v>
      </c>
      <c r="J39" s="192">
        <f t="shared" si="4"/>
        <v>3792.0479416139815</v>
      </c>
      <c r="K39" s="192">
        <f t="shared" si="4"/>
        <v>3792.0479416139815</v>
      </c>
      <c r="L39" s="192">
        <f t="shared" si="4"/>
        <v>3792.0479416139815</v>
      </c>
      <c r="M39" s="192">
        <f t="shared" si="4"/>
        <v>3792.0479416139815</v>
      </c>
      <c r="N39" s="192">
        <f t="shared" si="4"/>
        <v>3792.0479416139815</v>
      </c>
      <c r="O39" s="195">
        <f t="shared" si="2"/>
        <v>35712.527357753803</v>
      </c>
    </row>
    <row r="40" spans="1:17" ht="15" thickBot="1">
      <c r="B40" s="184" t="s">
        <v>153</v>
      </c>
      <c r="C40" s="193">
        <f>C35+C39</f>
        <v>86397.536250000005</v>
      </c>
      <c r="D40" s="193">
        <f>D35+D39</f>
        <v>9039.5841916139816</v>
      </c>
      <c r="E40" s="193">
        <f t="shared" ref="E40:N40" si="5">E35+E39</f>
        <v>10064.585941613981</v>
      </c>
      <c r="F40" s="193">
        <f t="shared" si="5"/>
        <v>14088.587691613982</v>
      </c>
      <c r="G40" s="193">
        <f t="shared" si="5"/>
        <v>16386.98944161398</v>
      </c>
      <c r="H40" s="193">
        <f t="shared" si="5"/>
        <v>15008.320441613982</v>
      </c>
      <c r="I40" s="193">
        <f t="shared" si="5"/>
        <v>13347.118691613981</v>
      </c>
      <c r="J40" s="193">
        <f t="shared" si="5"/>
        <v>14338.985941613981</v>
      </c>
      <c r="K40" s="193">
        <f t="shared" si="5"/>
        <v>16314.854941613979</v>
      </c>
      <c r="L40" s="193">
        <f t="shared" si="5"/>
        <v>16881.922191613983</v>
      </c>
      <c r="M40" s="193">
        <f t="shared" si="5"/>
        <v>13669.65144161398</v>
      </c>
      <c r="N40" s="193">
        <f t="shared" si="5"/>
        <v>10660.915191613982</v>
      </c>
      <c r="O40" s="196">
        <f t="shared" si="2"/>
        <v>236199.05235775383</v>
      </c>
      <c r="Q40" s="409">
        <f>SUM(C40:E40)</f>
        <v>105501.70638322797</v>
      </c>
    </row>
    <row r="41" spans="1:17" ht="15" thickTop="1"/>
    <row r="42" spans="1:17">
      <c r="B42" s="167" t="s">
        <v>154</v>
      </c>
      <c r="C42" s="17"/>
      <c r="D42" s="17"/>
      <c r="E42" s="17"/>
      <c r="F42" s="17"/>
      <c r="G42" s="17"/>
      <c r="H42" s="17"/>
      <c r="I42" s="17"/>
      <c r="J42" s="17"/>
      <c r="K42" s="17"/>
      <c r="L42" s="17"/>
      <c r="M42" s="17"/>
      <c r="N42" s="17"/>
      <c r="O42" s="17"/>
    </row>
    <row r="43" spans="1:17">
      <c r="B43" s="77" t="s">
        <v>155</v>
      </c>
      <c r="C43" s="122">
        <v>0</v>
      </c>
      <c r="D43" s="122">
        <f t="shared" ref="D43:N43" si="6">C49</f>
        <v>12007.463749999995</v>
      </c>
      <c r="E43" s="122">
        <f t="shared" si="6"/>
        <v>11372.879558386014</v>
      </c>
      <c r="F43" s="122">
        <f t="shared" si="6"/>
        <v>14756.293616772031</v>
      </c>
      <c r="G43" s="122">
        <f t="shared" si="6"/>
        <v>19158.70592515805</v>
      </c>
      <c r="H43" s="122">
        <f t="shared" si="6"/>
        <v>26305.716483544071</v>
      </c>
      <c r="I43" s="122">
        <f t="shared" si="6"/>
        <v>28107.396041930089</v>
      </c>
      <c r="J43" s="122">
        <f t="shared" si="6"/>
        <v>26527.277350316104</v>
      </c>
      <c r="K43" s="122">
        <f t="shared" si="6"/>
        <v>25636.29140870212</v>
      </c>
      <c r="L43" s="122">
        <f t="shared" si="6"/>
        <v>29493.43646708814</v>
      </c>
      <c r="M43" s="122">
        <f t="shared" si="6"/>
        <v>34464.514275474154</v>
      </c>
      <c r="N43" s="122">
        <f t="shared" si="6"/>
        <v>30880.862833860174</v>
      </c>
      <c r="O43" s="121">
        <f t="shared" ref="O43:O47" si="7">SUM(C43:N43)</f>
        <v>258710.83771123097</v>
      </c>
    </row>
    <row r="44" spans="1:17">
      <c r="B44" s="77" t="s">
        <v>156</v>
      </c>
      <c r="C44" s="122">
        <f t="shared" ref="C44:N44" si="8">C16</f>
        <v>98405</v>
      </c>
      <c r="D44" s="122">
        <f t="shared" si="8"/>
        <v>8405</v>
      </c>
      <c r="E44" s="122">
        <f t="shared" si="8"/>
        <v>13448</v>
      </c>
      <c r="F44" s="122">
        <f t="shared" si="8"/>
        <v>18491</v>
      </c>
      <c r="G44" s="122">
        <f t="shared" si="8"/>
        <v>23534</v>
      </c>
      <c r="H44" s="122">
        <f t="shared" si="8"/>
        <v>16810</v>
      </c>
      <c r="I44" s="122">
        <f t="shared" si="8"/>
        <v>11767</v>
      </c>
      <c r="J44" s="122">
        <f t="shared" si="8"/>
        <v>13448</v>
      </c>
      <c r="K44" s="122">
        <f t="shared" si="8"/>
        <v>20172</v>
      </c>
      <c r="L44" s="122">
        <f t="shared" si="8"/>
        <v>21853</v>
      </c>
      <c r="M44" s="122">
        <f t="shared" si="8"/>
        <v>10086</v>
      </c>
      <c r="N44" s="122">
        <f t="shared" si="8"/>
        <v>1681</v>
      </c>
      <c r="O44" s="121">
        <f t="shared" si="7"/>
        <v>258100</v>
      </c>
    </row>
    <row r="45" spans="1:17">
      <c r="B45" s="77" t="s">
        <v>157</v>
      </c>
      <c r="C45" s="122">
        <f t="shared" ref="C45:N45" si="9">C40</f>
        <v>86397.536250000005</v>
      </c>
      <c r="D45" s="122">
        <f t="shared" si="9"/>
        <v>9039.5841916139816</v>
      </c>
      <c r="E45" s="122">
        <f t="shared" si="9"/>
        <v>10064.585941613981</v>
      </c>
      <c r="F45" s="122">
        <f t="shared" si="9"/>
        <v>14088.587691613982</v>
      </c>
      <c r="G45" s="122">
        <f t="shared" si="9"/>
        <v>16386.98944161398</v>
      </c>
      <c r="H45" s="122">
        <f t="shared" si="9"/>
        <v>15008.320441613982</v>
      </c>
      <c r="I45" s="122">
        <f t="shared" si="9"/>
        <v>13347.118691613981</v>
      </c>
      <c r="J45" s="122">
        <f t="shared" si="9"/>
        <v>14338.985941613981</v>
      </c>
      <c r="K45" s="122">
        <f t="shared" si="9"/>
        <v>16314.854941613979</v>
      </c>
      <c r="L45" s="122">
        <f t="shared" si="9"/>
        <v>16881.922191613983</v>
      </c>
      <c r="M45" s="122">
        <f t="shared" si="9"/>
        <v>13669.65144161398</v>
      </c>
      <c r="N45" s="122">
        <f t="shared" si="9"/>
        <v>10660.915191613982</v>
      </c>
      <c r="O45" s="121">
        <f t="shared" si="7"/>
        <v>236199.05235775383</v>
      </c>
    </row>
    <row r="46" spans="1:17">
      <c r="B46" s="77" t="s">
        <v>158</v>
      </c>
      <c r="C46" s="122">
        <f>C43+C44-C45</f>
        <v>12007.463749999995</v>
      </c>
      <c r="D46" s="122">
        <f>D43+D44-D45</f>
        <v>11372.879558386014</v>
      </c>
      <c r="E46" s="122">
        <f t="shared" ref="E46:N46" si="10">E43+E44-E45</f>
        <v>14756.293616772031</v>
      </c>
      <c r="F46" s="122">
        <f t="shared" si="10"/>
        <v>19158.70592515805</v>
      </c>
      <c r="G46" s="122">
        <f t="shared" si="10"/>
        <v>26305.716483544071</v>
      </c>
      <c r="H46" s="122">
        <f t="shared" si="10"/>
        <v>28107.396041930089</v>
      </c>
      <c r="I46" s="122">
        <f t="shared" si="10"/>
        <v>26527.277350316104</v>
      </c>
      <c r="J46" s="122">
        <f t="shared" si="10"/>
        <v>25636.29140870212</v>
      </c>
      <c r="K46" s="122">
        <f t="shared" si="10"/>
        <v>29493.43646708814</v>
      </c>
      <c r="L46" s="122">
        <f t="shared" si="10"/>
        <v>34464.514275474154</v>
      </c>
      <c r="M46" s="122">
        <f t="shared" si="10"/>
        <v>30880.862833860174</v>
      </c>
      <c r="N46" s="122">
        <f t="shared" si="10"/>
        <v>21900.947642246192</v>
      </c>
      <c r="O46" s="121">
        <f t="shared" si="7"/>
        <v>280611.78535347717</v>
      </c>
    </row>
    <row r="47" spans="1:17">
      <c r="B47" s="197" t="s">
        <v>159</v>
      </c>
      <c r="C47" s="198">
        <f>Financing!$B$10</f>
        <v>1500</v>
      </c>
      <c r="D47" s="198">
        <f>Financing!$B$10</f>
        <v>1500</v>
      </c>
      <c r="E47" s="198">
        <f>Financing!$B$10</f>
        <v>1500</v>
      </c>
      <c r="F47" s="198">
        <f>Financing!$B$10</f>
        <v>1500</v>
      </c>
      <c r="G47" s="198">
        <f>Financing!$B$10</f>
        <v>1500</v>
      </c>
      <c r="H47" s="198">
        <f>Financing!$B$10</f>
        <v>1500</v>
      </c>
      <c r="I47" s="198">
        <f>Financing!$B$10</f>
        <v>1500</v>
      </c>
      <c r="J47" s="198">
        <f>Financing!$B$10</f>
        <v>1500</v>
      </c>
      <c r="K47" s="198">
        <f>Financing!$B$10</f>
        <v>1500</v>
      </c>
      <c r="L47" s="198">
        <f>Financing!$B$10</f>
        <v>1500</v>
      </c>
      <c r="M47" s="198">
        <f>Financing!$B$10</f>
        <v>1500</v>
      </c>
      <c r="N47" s="198">
        <f>Financing!$B$10</f>
        <v>1500</v>
      </c>
      <c r="O47" s="199">
        <f t="shared" si="7"/>
        <v>18000</v>
      </c>
    </row>
    <row r="48" spans="1:17">
      <c r="B48" s="77" t="s">
        <v>160</v>
      </c>
      <c r="C48" s="122">
        <f>IF(C46&lt;C47, C47-C46, 0)</f>
        <v>0</v>
      </c>
      <c r="D48" s="122">
        <f t="shared" ref="D48:N48" si="11">IF(D46&lt;D47, D47-D46, 0)</f>
        <v>0</v>
      </c>
      <c r="E48" s="122">
        <f t="shared" si="11"/>
        <v>0</v>
      </c>
      <c r="F48" s="122">
        <f t="shared" si="11"/>
        <v>0</v>
      </c>
      <c r="G48" s="122">
        <f t="shared" si="11"/>
        <v>0</v>
      </c>
      <c r="H48" s="122">
        <f t="shared" si="11"/>
        <v>0</v>
      </c>
      <c r="I48" s="122">
        <f t="shared" si="11"/>
        <v>0</v>
      </c>
      <c r="J48" s="122">
        <f t="shared" si="11"/>
        <v>0</v>
      </c>
      <c r="K48" s="122">
        <f t="shared" si="11"/>
        <v>0</v>
      </c>
      <c r="L48" s="122">
        <f t="shared" si="11"/>
        <v>0</v>
      </c>
      <c r="M48" s="122">
        <f t="shared" si="11"/>
        <v>0</v>
      </c>
      <c r="N48" s="122">
        <f t="shared" si="11"/>
        <v>0</v>
      </c>
      <c r="O48" s="121">
        <f>SUM(C48:N48)</f>
        <v>0</v>
      </c>
    </row>
    <row r="49" spans="1:15">
      <c r="B49" s="77" t="s">
        <v>161</v>
      </c>
      <c r="C49" s="122">
        <f>C48-(-C46)</f>
        <v>12007.463749999995</v>
      </c>
      <c r="D49" s="122">
        <f t="shared" ref="D49:N49" si="12">D48-(-D46)</f>
        <v>11372.879558386014</v>
      </c>
      <c r="E49" s="122">
        <f t="shared" si="12"/>
        <v>14756.293616772031</v>
      </c>
      <c r="F49" s="122">
        <f t="shared" si="12"/>
        <v>19158.70592515805</v>
      </c>
      <c r="G49" s="122">
        <f t="shared" si="12"/>
        <v>26305.716483544071</v>
      </c>
      <c r="H49" s="122">
        <f t="shared" si="12"/>
        <v>28107.396041930089</v>
      </c>
      <c r="I49" s="122">
        <f t="shared" si="12"/>
        <v>26527.277350316104</v>
      </c>
      <c r="J49" s="122">
        <f t="shared" si="12"/>
        <v>25636.29140870212</v>
      </c>
      <c r="K49" s="122">
        <f t="shared" si="12"/>
        <v>29493.43646708814</v>
      </c>
      <c r="L49" s="122">
        <f t="shared" si="12"/>
        <v>34464.514275474154</v>
      </c>
      <c r="M49" s="122">
        <f t="shared" si="12"/>
        <v>30880.862833860174</v>
      </c>
      <c r="N49" s="122">
        <f t="shared" si="12"/>
        <v>21900.947642246192</v>
      </c>
      <c r="O49" s="121">
        <f>SUM(C49:N49)</f>
        <v>280611.78535347717</v>
      </c>
    </row>
    <row r="51" spans="1:15">
      <c r="A51" s="17"/>
      <c r="B51" s="17"/>
      <c r="C51" s="115">
        <v>46412</v>
      </c>
      <c r="D51" s="115">
        <v>46443</v>
      </c>
      <c r="E51" s="115">
        <v>46471</v>
      </c>
      <c r="F51" s="115">
        <v>46502</v>
      </c>
      <c r="G51" s="115">
        <v>46532</v>
      </c>
      <c r="H51" s="115">
        <v>46563</v>
      </c>
      <c r="I51" s="115">
        <v>46593</v>
      </c>
      <c r="J51" s="115">
        <v>46624</v>
      </c>
      <c r="K51" s="115">
        <v>46655</v>
      </c>
      <c r="L51" s="115">
        <v>46685</v>
      </c>
      <c r="M51" s="115">
        <v>46716</v>
      </c>
      <c r="N51" s="115">
        <v>46746</v>
      </c>
      <c r="O51" s="116" t="s">
        <v>49</v>
      </c>
    </row>
    <row r="52" spans="1:15">
      <c r="A52" s="117" t="s">
        <v>111</v>
      </c>
      <c r="B52" s="186" t="s">
        <v>112</v>
      </c>
      <c r="C52" s="185"/>
      <c r="D52" s="77"/>
      <c r="E52" s="77"/>
      <c r="F52" s="77"/>
      <c r="G52" s="77"/>
      <c r="H52" s="77"/>
      <c r="I52" s="77"/>
      <c r="J52" s="77"/>
      <c r="K52" s="77"/>
      <c r="L52" s="77"/>
      <c r="M52" s="77"/>
      <c r="N52" s="77"/>
      <c r="O52" s="77"/>
    </row>
    <row r="53" spans="1:15">
      <c r="A53" s="118" t="s">
        <v>113</v>
      </c>
      <c r="B53" s="129" t="s">
        <v>114</v>
      </c>
      <c r="C53" s="119">
        <f>Sales!B42</f>
        <v>2798.8650000000002</v>
      </c>
      <c r="D53" s="119">
        <f>Sales!C42</f>
        <v>2798.8650000000002</v>
      </c>
      <c r="E53" s="119">
        <f>Sales!D42</f>
        <v>4478.1840000000002</v>
      </c>
      <c r="F53" s="119">
        <f>Sales!E42</f>
        <v>6157.5029999999997</v>
      </c>
      <c r="G53" s="119">
        <f>Sales!F42</f>
        <v>7836.8220000000001</v>
      </c>
      <c r="H53" s="119">
        <f>Sales!G42</f>
        <v>5597.7300000000005</v>
      </c>
      <c r="I53" s="119">
        <f>Sales!H42</f>
        <v>3918.4110000000001</v>
      </c>
      <c r="J53" s="119">
        <f>Sales!I42</f>
        <v>4478.1840000000002</v>
      </c>
      <c r="K53" s="119">
        <f>Sales!J42</f>
        <v>6717.2759999999989</v>
      </c>
      <c r="L53" s="119">
        <f>Sales!K42</f>
        <v>7277.049</v>
      </c>
      <c r="M53" s="119">
        <f>Sales!L42</f>
        <v>3358.6379999999995</v>
      </c>
      <c r="N53" s="119">
        <f>Sales!M42</f>
        <v>559.77300000000002</v>
      </c>
      <c r="O53" s="119">
        <f>Sales!N42</f>
        <v>55977.3</v>
      </c>
    </row>
    <row r="54" spans="1:15">
      <c r="A54" s="120" t="s">
        <v>113</v>
      </c>
      <c r="B54" s="77" t="s">
        <v>115</v>
      </c>
      <c r="C54" s="119">
        <f>Sales!B43</f>
        <v>6530.6850000000004</v>
      </c>
      <c r="D54" s="119">
        <f>Sales!C43</f>
        <v>6530.6850000000004</v>
      </c>
      <c r="E54" s="119">
        <f>Sales!D43</f>
        <v>10449.096</v>
      </c>
      <c r="F54" s="119">
        <f>Sales!E43</f>
        <v>14367.506999999998</v>
      </c>
      <c r="G54" s="119">
        <f>Sales!F43</f>
        <v>18285.918000000001</v>
      </c>
      <c r="H54" s="119">
        <f>Sales!G43</f>
        <v>13061.37</v>
      </c>
      <c r="I54" s="119">
        <f>Sales!H43</f>
        <v>9142.9590000000007</v>
      </c>
      <c r="J54" s="119">
        <f>Sales!I43</f>
        <v>10449.096</v>
      </c>
      <c r="K54" s="119">
        <f>Sales!J43</f>
        <v>15673.643999999998</v>
      </c>
      <c r="L54" s="119">
        <f>Sales!K43</f>
        <v>16979.780999999999</v>
      </c>
      <c r="M54" s="119">
        <f>Sales!L43</f>
        <v>7836.8219999999992</v>
      </c>
      <c r="N54" s="119">
        <f>Sales!M43</f>
        <v>1306.1369999999999</v>
      </c>
      <c r="O54" s="119">
        <f>Sales!N43</f>
        <v>130613.70000000001</v>
      </c>
    </row>
    <row r="55" spans="1:15">
      <c r="A55" s="120" t="s">
        <v>113</v>
      </c>
      <c r="B55" s="114" t="s">
        <v>116</v>
      </c>
      <c r="C55" s="121">
        <f>Sales!B41</f>
        <v>9329.5500000000011</v>
      </c>
      <c r="D55" s="121">
        <f>Sales!C41</f>
        <v>9329.5500000000011</v>
      </c>
      <c r="E55" s="121">
        <f>Sales!D41</f>
        <v>14927.28</v>
      </c>
      <c r="F55" s="121">
        <f>Sales!E41</f>
        <v>20525.009999999998</v>
      </c>
      <c r="G55" s="121">
        <f>Sales!F41</f>
        <v>26122.74</v>
      </c>
      <c r="H55" s="121">
        <f>Sales!G41</f>
        <v>18659.100000000002</v>
      </c>
      <c r="I55" s="121">
        <f>Sales!H41</f>
        <v>13061.37</v>
      </c>
      <c r="J55" s="121">
        <f>Sales!I41</f>
        <v>14927.28</v>
      </c>
      <c r="K55" s="121">
        <f>Sales!J41</f>
        <v>22390.92</v>
      </c>
      <c r="L55" s="121">
        <f>Sales!K41</f>
        <v>24256.83</v>
      </c>
      <c r="M55" s="121">
        <f>Sales!L41</f>
        <v>11195.46</v>
      </c>
      <c r="N55" s="121">
        <f>Sales!M41</f>
        <v>1865.91</v>
      </c>
      <c r="O55" s="121">
        <f>Sales!N41</f>
        <v>186591</v>
      </c>
    </row>
    <row r="56" spans="1:15">
      <c r="A56" s="120" t="s">
        <v>113</v>
      </c>
      <c r="B56" s="77" t="s">
        <v>117</v>
      </c>
      <c r="C56" s="122">
        <f>Sales!B45</f>
        <v>3731.82</v>
      </c>
      <c r="D56" s="122">
        <f>Sales!C45</f>
        <v>3731.82</v>
      </c>
      <c r="E56" s="122">
        <f>Sales!D45</f>
        <v>5970.9120000000003</v>
      </c>
      <c r="F56" s="122">
        <f>Sales!E45</f>
        <v>8210.003999999999</v>
      </c>
      <c r="G56" s="122">
        <f>Sales!F45</f>
        <v>10449.096</v>
      </c>
      <c r="H56" s="122">
        <f>Sales!G45</f>
        <v>7463.64</v>
      </c>
      <c r="I56" s="122">
        <f>Sales!H45</f>
        <v>5224.5479999999998</v>
      </c>
      <c r="J56" s="122">
        <f>Sales!I45</f>
        <v>5970.9120000000003</v>
      </c>
      <c r="K56" s="122">
        <f>Sales!J45</f>
        <v>8956.3679999999986</v>
      </c>
      <c r="L56" s="122">
        <f>Sales!K45</f>
        <v>9702.732</v>
      </c>
      <c r="M56" s="122">
        <f>Sales!L45</f>
        <v>4478.1839999999993</v>
      </c>
      <c r="N56" s="122">
        <f>Sales!M45</f>
        <v>746.36400000000003</v>
      </c>
      <c r="O56" s="122">
        <f>Sales!N45</f>
        <v>74636.399999999994</v>
      </c>
    </row>
    <row r="57" spans="1:15">
      <c r="A57" s="120" t="s">
        <v>113</v>
      </c>
      <c r="B57" s="77" t="s">
        <v>118</v>
      </c>
      <c r="C57" s="122">
        <f>Sales!B46</f>
        <v>2487.8800000000006</v>
      </c>
      <c r="D57" s="122">
        <f>Sales!C46</f>
        <v>2487.8800000000006</v>
      </c>
      <c r="E57" s="122">
        <f>Sales!D46</f>
        <v>3980.6080000000002</v>
      </c>
      <c r="F57" s="122">
        <f>Sales!E46</f>
        <v>5473.3360000000002</v>
      </c>
      <c r="G57" s="122">
        <f>Sales!F46</f>
        <v>6966.0640000000003</v>
      </c>
      <c r="H57" s="122">
        <f>Sales!G46</f>
        <v>4975.7600000000011</v>
      </c>
      <c r="I57" s="122">
        <f>Sales!H46</f>
        <v>3483.0320000000002</v>
      </c>
      <c r="J57" s="122">
        <f>Sales!I46</f>
        <v>3980.6080000000002</v>
      </c>
      <c r="K57" s="122">
        <f>Sales!J46</f>
        <v>5970.9120000000003</v>
      </c>
      <c r="L57" s="122">
        <f>Sales!K46</f>
        <v>6468.4880000000012</v>
      </c>
      <c r="M57" s="122">
        <f>Sales!L46</f>
        <v>2985.4560000000001</v>
      </c>
      <c r="N57" s="122">
        <f>Sales!M46</f>
        <v>497.57600000000002</v>
      </c>
      <c r="O57" s="122">
        <f>Sales!N46</f>
        <v>49757.599999999999</v>
      </c>
    </row>
    <row r="58" spans="1:15" ht="15" thickBot="1">
      <c r="A58" s="120" t="s">
        <v>113</v>
      </c>
      <c r="B58" s="123" t="s">
        <v>119</v>
      </c>
      <c r="C58" s="124">
        <f>Sales!B44</f>
        <v>6219.7000000000007</v>
      </c>
      <c r="D58" s="124">
        <f>Sales!C44</f>
        <v>6219.7000000000007</v>
      </c>
      <c r="E58" s="124">
        <f>Sales!D44</f>
        <v>9951.52</v>
      </c>
      <c r="F58" s="124">
        <f>Sales!E44</f>
        <v>13683.34</v>
      </c>
      <c r="G58" s="124">
        <f>Sales!F44</f>
        <v>17415.16</v>
      </c>
      <c r="H58" s="124">
        <f>Sales!G44</f>
        <v>12439.400000000001</v>
      </c>
      <c r="I58" s="124">
        <f>Sales!H44</f>
        <v>8707.58</v>
      </c>
      <c r="J58" s="124">
        <f>Sales!I44</f>
        <v>9951.52</v>
      </c>
      <c r="K58" s="124">
        <f>Sales!J44</f>
        <v>14927.279999999999</v>
      </c>
      <c r="L58" s="124">
        <f>Sales!K44</f>
        <v>16171.220000000001</v>
      </c>
      <c r="M58" s="124">
        <f>Sales!L44</f>
        <v>7463.6399999999994</v>
      </c>
      <c r="N58" s="124">
        <f>Sales!M44</f>
        <v>1243.94</v>
      </c>
      <c r="O58" s="124">
        <f>Sales!N44</f>
        <v>124394.00000000001</v>
      </c>
    </row>
    <row r="59" spans="1:15" ht="15" thickBot="1">
      <c r="A59" s="125" t="s">
        <v>113</v>
      </c>
      <c r="B59" s="126" t="s">
        <v>120</v>
      </c>
      <c r="C59" s="127">
        <f>Sales!B47</f>
        <v>15549.250000000002</v>
      </c>
      <c r="D59" s="127">
        <f>Sales!C47</f>
        <v>15549.250000000002</v>
      </c>
      <c r="E59" s="127">
        <f>Sales!D47</f>
        <v>24878.800000000003</v>
      </c>
      <c r="F59" s="127">
        <f>Sales!E47</f>
        <v>34208.35</v>
      </c>
      <c r="G59" s="127">
        <f>Sales!F47</f>
        <v>43537.9</v>
      </c>
      <c r="H59" s="127">
        <f>Sales!G47</f>
        <v>31098.500000000004</v>
      </c>
      <c r="I59" s="127">
        <f>Sales!H47</f>
        <v>21768.95</v>
      </c>
      <c r="J59" s="127">
        <f>Sales!I47</f>
        <v>24878.800000000003</v>
      </c>
      <c r="K59" s="127">
        <f>Sales!J47</f>
        <v>37318.199999999997</v>
      </c>
      <c r="L59" s="127">
        <f>Sales!K47</f>
        <v>40428.050000000003</v>
      </c>
      <c r="M59" s="127">
        <f>Sales!L47</f>
        <v>18659.099999999999</v>
      </c>
      <c r="N59" s="127">
        <f>Sales!M47</f>
        <v>3109.8500000000004</v>
      </c>
      <c r="O59" s="127">
        <f>Sales!N47</f>
        <v>310984.99999999994</v>
      </c>
    </row>
    <row r="60" spans="1:15">
      <c r="A60" s="120" t="s">
        <v>16</v>
      </c>
      <c r="B60" s="129" t="s">
        <v>121</v>
      </c>
      <c r="C60" s="130">
        <f>Startup!B84</f>
        <v>0</v>
      </c>
      <c r="D60" s="130">
        <v>0</v>
      </c>
      <c r="E60" s="130">
        <v>0</v>
      </c>
      <c r="F60" s="130">
        <v>0</v>
      </c>
      <c r="G60" s="130">
        <v>0</v>
      </c>
      <c r="H60" s="130">
        <v>0</v>
      </c>
      <c r="I60" s="130">
        <v>0</v>
      </c>
      <c r="J60" s="130">
        <v>0</v>
      </c>
      <c r="K60" s="130">
        <v>0</v>
      </c>
      <c r="L60" s="130">
        <v>0</v>
      </c>
      <c r="M60" s="130">
        <v>0</v>
      </c>
      <c r="N60" s="130">
        <v>0</v>
      </c>
      <c r="O60" s="130">
        <f>SUM(C60:N60)</f>
        <v>0</v>
      </c>
    </row>
    <row r="61" spans="1:15" ht="15" thickBot="1">
      <c r="A61" s="120" t="s">
        <v>122</v>
      </c>
      <c r="B61" s="136" t="s">
        <v>123</v>
      </c>
      <c r="C61" s="131">
        <v>0</v>
      </c>
      <c r="D61" s="131">
        <v>0</v>
      </c>
      <c r="E61" s="131">
        <v>0</v>
      </c>
      <c r="F61" s="131">
        <v>0</v>
      </c>
      <c r="G61" s="131">
        <v>0</v>
      </c>
      <c r="H61" s="131">
        <v>0</v>
      </c>
      <c r="I61" s="131">
        <v>0</v>
      </c>
      <c r="J61" s="131">
        <v>0</v>
      </c>
      <c r="K61" s="131">
        <v>0</v>
      </c>
      <c r="L61" s="131">
        <v>0</v>
      </c>
      <c r="M61" s="131">
        <v>0</v>
      </c>
      <c r="N61" s="131">
        <v>0</v>
      </c>
      <c r="O61" s="132">
        <f>SUM(C61:N61)</f>
        <v>0</v>
      </c>
    </row>
    <row r="62" spans="1:15" ht="15" thickBot="1">
      <c r="A62" s="133"/>
      <c r="B62" s="181" t="s">
        <v>124</v>
      </c>
      <c r="C62" s="182">
        <f>C59+C60+C61</f>
        <v>15549.250000000002</v>
      </c>
      <c r="D62" s="182">
        <f t="shared" ref="D62:N62" si="13">D59+D60+D61</f>
        <v>15549.250000000002</v>
      </c>
      <c r="E62" s="182">
        <f t="shared" si="13"/>
        <v>24878.800000000003</v>
      </c>
      <c r="F62" s="182">
        <f t="shared" si="13"/>
        <v>34208.35</v>
      </c>
      <c r="G62" s="182">
        <f t="shared" si="13"/>
        <v>43537.9</v>
      </c>
      <c r="H62" s="182">
        <f t="shared" si="13"/>
        <v>31098.500000000004</v>
      </c>
      <c r="I62" s="182">
        <f t="shared" si="13"/>
        <v>21768.95</v>
      </c>
      <c r="J62" s="182">
        <f t="shared" si="13"/>
        <v>24878.800000000003</v>
      </c>
      <c r="K62" s="182">
        <f t="shared" si="13"/>
        <v>37318.199999999997</v>
      </c>
      <c r="L62" s="182">
        <f t="shared" si="13"/>
        <v>40428.050000000003</v>
      </c>
      <c r="M62" s="182">
        <f t="shared" si="13"/>
        <v>18659.099999999999</v>
      </c>
      <c r="N62" s="182">
        <f t="shared" si="13"/>
        <v>3109.8500000000004</v>
      </c>
      <c r="O62" s="302">
        <f t="shared" ref="O62" si="14">O59+O60</f>
        <v>310984.99999999994</v>
      </c>
    </row>
    <row r="63" spans="1:15" ht="15" thickTop="1"/>
    <row r="65" spans="1:15">
      <c r="C65" s="300">
        <v>46412</v>
      </c>
      <c r="D65" s="300">
        <v>46443</v>
      </c>
      <c r="E65" s="300">
        <v>46471</v>
      </c>
      <c r="F65" s="300">
        <v>46502</v>
      </c>
      <c r="G65" s="300">
        <v>46532</v>
      </c>
      <c r="H65" s="300">
        <v>46563</v>
      </c>
      <c r="I65" s="300">
        <v>46593</v>
      </c>
      <c r="J65" s="300">
        <v>46624</v>
      </c>
      <c r="K65" s="300">
        <v>46655</v>
      </c>
      <c r="L65" s="300">
        <v>46685</v>
      </c>
      <c r="M65" s="300">
        <v>46716</v>
      </c>
      <c r="N65" s="300">
        <v>46746</v>
      </c>
      <c r="O65" s="21" t="s">
        <v>125</v>
      </c>
    </row>
    <row r="66" spans="1:15">
      <c r="A66" s="46" t="s">
        <v>126</v>
      </c>
      <c r="B66" s="175" t="s">
        <v>127</v>
      </c>
      <c r="C66" s="3"/>
      <c r="D66" s="1"/>
      <c r="E66" s="1"/>
      <c r="F66" s="1"/>
      <c r="G66" s="1"/>
      <c r="H66" s="1"/>
      <c r="I66" s="1"/>
      <c r="J66" s="1"/>
      <c r="K66" s="1"/>
      <c r="L66" s="1"/>
      <c r="M66" s="1"/>
      <c r="N66" s="1"/>
      <c r="O66" s="1"/>
    </row>
    <row r="67" spans="1:15">
      <c r="A67" s="89" t="s">
        <v>128</v>
      </c>
      <c r="B67" s="177" t="s">
        <v>129</v>
      </c>
      <c r="C67" s="187">
        <f>Startup!C66</f>
        <v>0</v>
      </c>
      <c r="D67" s="187">
        <v>0</v>
      </c>
      <c r="E67" s="187">
        <v>0</v>
      </c>
      <c r="F67" s="187">
        <v>0</v>
      </c>
      <c r="G67" s="187">
        <v>0</v>
      </c>
      <c r="H67" s="187">
        <v>0</v>
      </c>
      <c r="I67" s="187">
        <v>0</v>
      </c>
      <c r="J67" s="187">
        <v>0</v>
      </c>
      <c r="K67" s="187">
        <v>0</v>
      </c>
      <c r="L67" s="187">
        <v>0</v>
      </c>
      <c r="M67" s="187">
        <v>0</v>
      </c>
      <c r="N67" s="187">
        <v>0</v>
      </c>
      <c r="O67" s="187">
        <f t="shared" ref="O67" si="15">SUM(C67:N67)</f>
        <v>0</v>
      </c>
    </row>
    <row r="68" spans="1:15">
      <c r="A68" t="s">
        <v>130</v>
      </c>
      <c r="B68" s="1" t="s">
        <v>131</v>
      </c>
      <c r="C68" s="187">
        <f>'HR Exp'!B30+'HR Exp'!B33</f>
        <v>7040</v>
      </c>
      <c r="D68" s="187">
        <f>'HR Exp'!C30+'HR Exp'!C33</f>
        <v>7040</v>
      </c>
      <c r="E68" s="187">
        <f>'HR Exp'!D30+'HR Exp'!D33</f>
        <v>7040</v>
      </c>
      <c r="F68" s="187">
        <f>'HR Exp'!E30+'HR Exp'!E33</f>
        <v>7040</v>
      </c>
      <c r="G68" s="187">
        <f>'HR Exp'!F30+'HR Exp'!F33</f>
        <v>9200</v>
      </c>
      <c r="H68" s="187">
        <f>'HR Exp'!G30+'HR Exp'!G33</f>
        <v>9200</v>
      </c>
      <c r="I68" s="187">
        <f>'HR Exp'!H30+'HR Exp'!H33</f>
        <v>8120</v>
      </c>
      <c r="J68" s="187">
        <f>'HR Exp'!I30+'HR Exp'!I33</f>
        <v>9200</v>
      </c>
      <c r="K68" s="187">
        <f>'HR Exp'!J30+'HR Exp'!J33</f>
        <v>10280</v>
      </c>
      <c r="L68" s="187">
        <f>'HR Exp'!K30+'HR Exp'!K33</f>
        <v>10640</v>
      </c>
      <c r="M68" s="187">
        <f>'HR Exp'!L30+'HR Exp'!L33</f>
        <v>9200</v>
      </c>
      <c r="N68" s="187">
        <f>'HR Exp'!M30+'HR Exp'!M33</f>
        <v>7040</v>
      </c>
      <c r="O68" s="187">
        <f>SUM(C68:N68)</f>
        <v>101040</v>
      </c>
    </row>
    <row r="69" spans="1:15">
      <c r="A69" t="s">
        <v>130</v>
      </c>
      <c r="B69" s="1" t="s">
        <v>132</v>
      </c>
      <c r="C69" s="187">
        <f>'HR Exp'!B31+'HR Exp'!B34</f>
        <v>1478.3999999999999</v>
      </c>
      <c r="D69" s="187">
        <f>'HR Exp'!C31+'HR Exp'!C34</f>
        <v>1478.3999999999999</v>
      </c>
      <c r="E69" s="187">
        <f>'HR Exp'!D31+'HR Exp'!D34</f>
        <v>1478.3999999999999</v>
      </c>
      <c r="F69" s="187">
        <f>'HR Exp'!E31+'HR Exp'!E34</f>
        <v>1478.3999999999999</v>
      </c>
      <c r="G69" s="187">
        <f>'HR Exp'!F31+'HR Exp'!F34</f>
        <v>1867.1999999999998</v>
      </c>
      <c r="H69" s="187">
        <f>'HR Exp'!G31+'HR Exp'!G34</f>
        <v>1867.1999999999998</v>
      </c>
      <c r="I69" s="187">
        <f>'HR Exp'!H31+'HR Exp'!H34</f>
        <v>1672.8</v>
      </c>
      <c r="J69" s="187">
        <f>'HR Exp'!I31+'HR Exp'!I34</f>
        <v>1867.1999999999998</v>
      </c>
      <c r="K69" s="187">
        <f>'HR Exp'!J31+'HR Exp'!J34</f>
        <v>2061.6</v>
      </c>
      <c r="L69" s="187">
        <f>'HR Exp'!K31+'HR Exp'!K34</f>
        <v>2126.3999999999996</v>
      </c>
      <c r="M69" s="187">
        <f>'HR Exp'!L31+'HR Exp'!L34</f>
        <v>1867.1999999999998</v>
      </c>
      <c r="N69" s="187">
        <f>'HR Exp'!M31+'HR Exp'!M34</f>
        <v>1478.3999999999999</v>
      </c>
      <c r="O69" s="187">
        <f t="shared" ref="O69:O77" si="16">SUM(C69:N69)</f>
        <v>20721.600000000002</v>
      </c>
    </row>
    <row r="70" spans="1:15">
      <c r="A70" t="s">
        <v>133</v>
      </c>
      <c r="B70" s="1" t="s">
        <v>134</v>
      </c>
      <c r="C70" s="188">
        <v>840</v>
      </c>
      <c r="D70" s="188">
        <v>840</v>
      </c>
      <c r="E70" s="188">
        <v>1345</v>
      </c>
      <c r="F70" s="188">
        <v>1849</v>
      </c>
      <c r="G70" s="188">
        <v>2353</v>
      </c>
      <c r="H70" s="188">
        <v>1681</v>
      </c>
      <c r="I70" s="188">
        <v>1177</v>
      </c>
      <c r="J70" s="188">
        <v>1345</v>
      </c>
      <c r="K70" s="188">
        <v>2017</v>
      </c>
      <c r="L70" s="188">
        <v>2185</v>
      </c>
      <c r="M70" s="188">
        <v>1009</v>
      </c>
      <c r="N70" s="188">
        <v>168</v>
      </c>
      <c r="O70" s="187">
        <f t="shared" si="16"/>
        <v>16809</v>
      </c>
    </row>
    <row r="71" spans="1:15">
      <c r="A71" t="s">
        <v>135</v>
      </c>
      <c r="B71" s="1" t="s">
        <v>136</v>
      </c>
      <c r="C71" s="188">
        <v>300</v>
      </c>
      <c r="D71" s="188">
        <v>300</v>
      </c>
      <c r="E71" s="188">
        <v>380</v>
      </c>
      <c r="F71" s="188">
        <v>460</v>
      </c>
      <c r="G71" s="188">
        <v>540</v>
      </c>
      <c r="H71" s="188">
        <v>420</v>
      </c>
      <c r="I71" s="188">
        <v>340</v>
      </c>
      <c r="J71" s="188">
        <v>380</v>
      </c>
      <c r="K71" s="188">
        <v>460</v>
      </c>
      <c r="L71" s="188">
        <v>500</v>
      </c>
      <c r="M71" s="188">
        <v>340</v>
      </c>
      <c r="N71" s="188">
        <v>180</v>
      </c>
      <c r="O71" s="187">
        <f t="shared" si="16"/>
        <v>4600</v>
      </c>
    </row>
    <row r="72" spans="1:15">
      <c r="A72" t="s">
        <v>135</v>
      </c>
      <c r="B72" s="1" t="s">
        <v>137</v>
      </c>
      <c r="C72" s="188">
        <v>200</v>
      </c>
      <c r="D72" s="188">
        <v>200</v>
      </c>
      <c r="E72" s="188">
        <v>200</v>
      </c>
      <c r="F72" s="188">
        <v>200</v>
      </c>
      <c r="G72" s="188">
        <v>200</v>
      </c>
      <c r="H72" s="188">
        <v>200</v>
      </c>
      <c r="I72" s="188">
        <v>200</v>
      </c>
      <c r="J72" s="188">
        <v>200</v>
      </c>
      <c r="K72" s="188">
        <v>200</v>
      </c>
      <c r="L72" s="188">
        <v>200</v>
      </c>
      <c r="M72" s="188">
        <v>200</v>
      </c>
      <c r="N72" s="188">
        <v>200</v>
      </c>
      <c r="O72" s="187">
        <f t="shared" si="16"/>
        <v>2400</v>
      </c>
    </row>
    <row r="73" spans="1:15">
      <c r="A73" t="s">
        <v>135</v>
      </c>
      <c r="B73" s="1" t="s">
        <v>138</v>
      </c>
      <c r="C73" s="187">
        <f>'Other Exp'!B6</f>
        <v>325</v>
      </c>
      <c r="D73" s="187">
        <f>'Other Exp'!C6</f>
        <v>325</v>
      </c>
      <c r="E73" s="187">
        <f>'Other Exp'!D6</f>
        <v>325</v>
      </c>
      <c r="F73" s="187">
        <f>'Other Exp'!E6</f>
        <v>325</v>
      </c>
      <c r="G73" s="187">
        <f>'Other Exp'!F6</f>
        <v>325</v>
      </c>
      <c r="H73" s="187">
        <f>'Other Exp'!G6</f>
        <v>325</v>
      </c>
      <c r="I73" s="187">
        <f>'Other Exp'!H6</f>
        <v>325</v>
      </c>
      <c r="J73" s="187">
        <f>'Other Exp'!I6</f>
        <v>325</v>
      </c>
      <c r="K73" s="187">
        <f>'Other Exp'!J6</f>
        <v>325</v>
      </c>
      <c r="L73" s="187">
        <f>'Other Exp'!K6</f>
        <v>325</v>
      </c>
      <c r="M73" s="187">
        <f>'Other Exp'!L6</f>
        <v>325</v>
      </c>
      <c r="N73" s="187">
        <f>'Other Exp'!M6</f>
        <v>325</v>
      </c>
      <c r="O73" s="187">
        <f t="shared" si="16"/>
        <v>3900</v>
      </c>
    </row>
    <row r="74" spans="1:15">
      <c r="A74" t="s">
        <v>135</v>
      </c>
      <c r="B74" s="1" t="s">
        <v>139</v>
      </c>
      <c r="C74" s="187">
        <f>'Other Exp'!B7</f>
        <v>350</v>
      </c>
      <c r="D74" s="187">
        <f>'Other Exp'!C7</f>
        <v>350</v>
      </c>
      <c r="E74" s="187">
        <f>'Other Exp'!D7</f>
        <v>350</v>
      </c>
      <c r="F74" s="187">
        <f>'Other Exp'!E7</f>
        <v>350</v>
      </c>
      <c r="G74" s="187">
        <f>'Other Exp'!F7</f>
        <v>350</v>
      </c>
      <c r="H74" s="187">
        <f>'Other Exp'!G7</f>
        <v>350</v>
      </c>
      <c r="I74" s="187">
        <f>'Other Exp'!H7</f>
        <v>350</v>
      </c>
      <c r="J74" s="187">
        <f>'Other Exp'!I7</f>
        <v>350</v>
      </c>
      <c r="K74" s="187">
        <f>'Other Exp'!J7</f>
        <v>350</v>
      </c>
      <c r="L74" s="187">
        <f>'Other Exp'!K7</f>
        <v>350</v>
      </c>
      <c r="M74" s="187">
        <f>'Other Exp'!L7</f>
        <v>350</v>
      </c>
      <c r="N74" s="187">
        <f>'Other Exp'!M7</f>
        <v>350</v>
      </c>
      <c r="O74" s="187">
        <f t="shared" si="16"/>
        <v>4200</v>
      </c>
    </row>
    <row r="75" spans="1:15">
      <c r="A75" t="s">
        <v>140</v>
      </c>
      <c r="B75" s="1" t="s">
        <v>141</v>
      </c>
      <c r="C75" s="187">
        <f>Marketing!B22+Marketing!B31+Marketing!B38</f>
        <v>21393.940000000002</v>
      </c>
      <c r="D75" s="187">
        <f>Marketing!C22</f>
        <v>1243.9400000000003</v>
      </c>
      <c r="E75" s="187">
        <f>Marketing!D22</f>
        <v>1990.3040000000005</v>
      </c>
      <c r="F75" s="187">
        <f>Marketing!E22</f>
        <v>2736.6680000000001</v>
      </c>
      <c r="G75" s="187">
        <f>Marketing!F22</f>
        <v>3483.0320000000006</v>
      </c>
      <c r="H75" s="187">
        <f>Marketing!G22</f>
        <v>2487.8800000000006</v>
      </c>
      <c r="I75" s="187">
        <f>Marketing!H22</f>
        <v>1741.5160000000003</v>
      </c>
      <c r="J75" s="187">
        <f>Marketing!I22</f>
        <v>1990.3040000000005</v>
      </c>
      <c r="K75" s="187">
        <f>Marketing!J22</f>
        <v>2985.4560000000001</v>
      </c>
      <c r="L75" s="187">
        <f>Marketing!K22</f>
        <v>3234.2440000000006</v>
      </c>
      <c r="M75" s="187">
        <f>Marketing!L22</f>
        <v>1492.7280000000001</v>
      </c>
      <c r="N75" s="187">
        <f>Marketing!M22</f>
        <v>248.78800000000007</v>
      </c>
      <c r="O75" s="187">
        <f t="shared" si="16"/>
        <v>45028.80000000001</v>
      </c>
    </row>
    <row r="76" spans="1:15">
      <c r="A76" t="s">
        <v>135</v>
      </c>
      <c r="B76" s="1" t="s">
        <v>142</v>
      </c>
      <c r="C76" s="187">
        <f>'Other Exp'!B8</f>
        <v>300</v>
      </c>
      <c r="D76" s="187">
        <f>'Other Exp'!C8</f>
        <v>300</v>
      </c>
      <c r="E76" s="187">
        <f>'Other Exp'!D8</f>
        <v>300</v>
      </c>
      <c r="F76" s="187">
        <f>'Other Exp'!E8</f>
        <v>300</v>
      </c>
      <c r="G76" s="187">
        <f>'Other Exp'!F8</f>
        <v>300</v>
      </c>
      <c r="H76" s="187">
        <f>'Other Exp'!G8</f>
        <v>300</v>
      </c>
      <c r="I76" s="187">
        <f>'Other Exp'!H8</f>
        <v>300</v>
      </c>
      <c r="J76" s="187">
        <f>'Other Exp'!I8</f>
        <v>300</v>
      </c>
      <c r="K76" s="187">
        <f>'Other Exp'!J8</f>
        <v>300</v>
      </c>
      <c r="L76" s="187">
        <f>'Other Exp'!K8</f>
        <v>300</v>
      </c>
      <c r="M76" s="187">
        <f>'Other Exp'!L8</f>
        <v>300</v>
      </c>
      <c r="N76" s="187">
        <f>'Other Exp'!M8</f>
        <v>300</v>
      </c>
      <c r="O76" s="187">
        <f t="shared" si="16"/>
        <v>3600</v>
      </c>
    </row>
    <row r="77" spans="1:15">
      <c r="A77" t="s">
        <v>135</v>
      </c>
      <c r="B77" s="1" t="s">
        <v>143</v>
      </c>
      <c r="C77" s="187">
        <f>Startup!C19</f>
        <v>350</v>
      </c>
      <c r="D77" s="187">
        <v>350</v>
      </c>
      <c r="E77" s="187">
        <v>350</v>
      </c>
      <c r="F77" s="187">
        <v>350</v>
      </c>
      <c r="G77" s="187">
        <v>350</v>
      </c>
      <c r="H77" s="187">
        <v>350</v>
      </c>
      <c r="I77" s="187">
        <v>350</v>
      </c>
      <c r="J77" s="187">
        <v>350</v>
      </c>
      <c r="K77" s="187">
        <v>350</v>
      </c>
      <c r="L77" s="187">
        <v>350</v>
      </c>
      <c r="M77" s="187">
        <v>350</v>
      </c>
      <c r="N77" s="187">
        <v>350</v>
      </c>
      <c r="O77" s="187">
        <f t="shared" si="16"/>
        <v>4200</v>
      </c>
    </row>
    <row r="78" spans="1:15">
      <c r="A78" t="s">
        <v>135</v>
      </c>
      <c r="B78" s="1" t="s">
        <v>144</v>
      </c>
      <c r="C78" s="187">
        <f>Startup!$C$20</f>
        <v>450</v>
      </c>
      <c r="D78" s="187">
        <f>Startup!$C$20</f>
        <v>450</v>
      </c>
      <c r="E78" s="187">
        <f>Startup!$C$20</f>
        <v>450</v>
      </c>
      <c r="F78" s="187">
        <f>Startup!$C$20</f>
        <v>450</v>
      </c>
      <c r="G78" s="187">
        <f>Startup!$C$20</f>
        <v>450</v>
      </c>
      <c r="H78" s="187">
        <f>Startup!$C$20</f>
        <v>450</v>
      </c>
      <c r="I78" s="187">
        <f>Startup!$C$20</f>
        <v>450</v>
      </c>
      <c r="J78" s="187">
        <f>Startup!$C$20</f>
        <v>450</v>
      </c>
      <c r="K78" s="187">
        <f>Startup!$C$20</f>
        <v>450</v>
      </c>
      <c r="L78" s="187">
        <f>Startup!$C$20</f>
        <v>450</v>
      </c>
      <c r="M78" s="187">
        <f>Startup!$C$20</f>
        <v>450</v>
      </c>
      <c r="N78" s="187">
        <f>Startup!$C$20</f>
        <v>450</v>
      </c>
      <c r="O78" s="187">
        <f t="shared" ref="O78:O87" si="17">SUM(C78:N78)</f>
        <v>5400</v>
      </c>
    </row>
    <row r="79" spans="1:15">
      <c r="A79" t="s">
        <v>135</v>
      </c>
      <c r="B79" s="1" t="s">
        <v>145</v>
      </c>
      <c r="C79" s="187">
        <f>'Other Exp'!B9</f>
        <v>40</v>
      </c>
      <c r="D79" s="187">
        <f>'Other Exp'!C9</f>
        <v>40</v>
      </c>
      <c r="E79" s="187">
        <f>'Other Exp'!D9</f>
        <v>40</v>
      </c>
      <c r="F79" s="187">
        <f>'Other Exp'!E9</f>
        <v>40</v>
      </c>
      <c r="G79" s="187">
        <f>'Other Exp'!F9</f>
        <v>40</v>
      </c>
      <c r="H79" s="187">
        <f>'Other Exp'!G9</f>
        <v>40</v>
      </c>
      <c r="I79" s="187">
        <f>'Other Exp'!H9</f>
        <v>40</v>
      </c>
      <c r="J79" s="187">
        <f>'Other Exp'!I9</f>
        <v>40</v>
      </c>
      <c r="K79" s="187">
        <f>'Other Exp'!J9</f>
        <v>40</v>
      </c>
      <c r="L79" s="187">
        <f>'Other Exp'!K9</f>
        <v>40</v>
      </c>
      <c r="M79" s="187">
        <f>'Other Exp'!L9</f>
        <v>40</v>
      </c>
      <c r="N79" s="187">
        <f>'Other Exp'!M9</f>
        <v>40</v>
      </c>
      <c r="O79" s="187">
        <f t="shared" si="17"/>
        <v>480</v>
      </c>
    </row>
    <row r="80" spans="1:15">
      <c r="A80" t="s">
        <v>135</v>
      </c>
      <c r="B80" s="1" t="s">
        <v>146</v>
      </c>
      <c r="C80" s="187">
        <f>'Other Exp'!B10</f>
        <v>100</v>
      </c>
      <c r="D80" s="187">
        <f>'Other Exp'!C10</f>
        <v>100</v>
      </c>
      <c r="E80" s="187">
        <f>'Other Exp'!D10</f>
        <v>100</v>
      </c>
      <c r="F80" s="187">
        <f>'Other Exp'!E10</f>
        <v>100</v>
      </c>
      <c r="G80" s="187">
        <f>'Other Exp'!F10</f>
        <v>100</v>
      </c>
      <c r="H80" s="187">
        <f>'Other Exp'!G10</f>
        <v>100</v>
      </c>
      <c r="I80" s="187">
        <f>'Other Exp'!H10</f>
        <v>100</v>
      </c>
      <c r="J80" s="187">
        <f>'Other Exp'!I10</f>
        <v>100</v>
      </c>
      <c r="K80" s="187">
        <f>'Other Exp'!J10</f>
        <v>100</v>
      </c>
      <c r="L80" s="187">
        <f>'Other Exp'!K10</f>
        <v>100</v>
      </c>
      <c r="M80" s="187">
        <f>'Other Exp'!L10</f>
        <v>100</v>
      </c>
      <c r="N80" s="187">
        <f>'Other Exp'!M10</f>
        <v>100</v>
      </c>
      <c r="O80" s="187">
        <f t="shared" si="17"/>
        <v>1200</v>
      </c>
    </row>
    <row r="81" spans="1:15" ht="15" thickBot="1">
      <c r="B81" s="4" t="s">
        <v>147</v>
      </c>
      <c r="C81" s="189">
        <f>Financing!$B$3*(Sales!B43+Sales!B46)</f>
        <v>112.73206250000001</v>
      </c>
      <c r="D81" s="189">
        <f>Financing!$B$3*(Sales!C43+Sales!C46)</f>
        <v>112.73206250000001</v>
      </c>
      <c r="E81" s="189">
        <f>Financing!$B$3*(Sales!D43+Sales!D46)</f>
        <v>180.37130000000002</v>
      </c>
      <c r="F81" s="189">
        <f>Financing!$B$3*(Sales!E43+Sales!E46)</f>
        <v>248.01053749999997</v>
      </c>
      <c r="G81" s="189">
        <f>Financing!$B$3*(Sales!F43+Sales!F46)</f>
        <v>315.64977500000009</v>
      </c>
      <c r="H81" s="189">
        <f>Financing!$B$3*(Sales!G43+Sales!G46)</f>
        <v>225.46412500000002</v>
      </c>
      <c r="I81" s="189">
        <f>Financing!$B$3*(Sales!H43+Sales!H46)</f>
        <v>157.82488750000005</v>
      </c>
      <c r="J81" s="189">
        <f>Financing!$B$3*(Sales!I43+Sales!I46)</f>
        <v>180.37130000000002</v>
      </c>
      <c r="K81" s="189">
        <f>Financing!$B$3*(Sales!J43+Sales!J46)</f>
        <v>270.55694999999997</v>
      </c>
      <c r="L81" s="189">
        <f>Financing!$B$3*(Sales!K43+Sales!K46)</f>
        <v>293.1033625</v>
      </c>
      <c r="M81" s="189">
        <f>Financing!$B$3*(Sales!L43+Sales!L46)</f>
        <v>135.27847499999999</v>
      </c>
      <c r="N81" s="189">
        <f>Financing!$B$3*(Sales!M43+Sales!M46)</f>
        <v>22.546412500000002</v>
      </c>
      <c r="O81" s="189">
        <f t="shared" si="17"/>
        <v>2254.6412500000001</v>
      </c>
    </row>
    <row r="82" spans="1:15" ht="15" thickBot="1">
      <c r="A82" t="s">
        <v>26</v>
      </c>
      <c r="B82" s="179" t="s">
        <v>148</v>
      </c>
      <c r="C82" s="190">
        <f t="shared" ref="C82:N82" si="18">SUM(C67:C81)</f>
        <v>33280.072062500003</v>
      </c>
      <c r="D82" s="190">
        <f t="shared" si="18"/>
        <v>13130.072062499999</v>
      </c>
      <c r="E82" s="190">
        <f t="shared" si="18"/>
        <v>14529.0753</v>
      </c>
      <c r="F82" s="190">
        <f t="shared" si="18"/>
        <v>15927.0785375</v>
      </c>
      <c r="G82" s="190">
        <f t="shared" si="18"/>
        <v>19873.881775000002</v>
      </c>
      <c r="H82" s="190">
        <f t="shared" si="18"/>
        <v>17996.544125</v>
      </c>
      <c r="I82" s="190">
        <f t="shared" si="18"/>
        <v>15324.1408875</v>
      </c>
      <c r="J82" s="190">
        <f t="shared" si="18"/>
        <v>17077.8753</v>
      </c>
      <c r="K82" s="190">
        <f t="shared" si="18"/>
        <v>20189.612949999999</v>
      </c>
      <c r="L82" s="190">
        <f t="shared" si="18"/>
        <v>21093.747362499998</v>
      </c>
      <c r="M82" s="190">
        <f t="shared" si="18"/>
        <v>16159.206474999999</v>
      </c>
      <c r="N82" s="190">
        <f t="shared" si="18"/>
        <v>11252.7344125</v>
      </c>
      <c r="O82" s="194">
        <f t="shared" si="17"/>
        <v>215834.04125000001</v>
      </c>
    </row>
    <row r="83" spans="1:15">
      <c r="A83" t="s">
        <v>26</v>
      </c>
      <c r="B83" s="177" t="s">
        <v>149</v>
      </c>
      <c r="C83" s="191">
        <f>Financing!B34</f>
        <v>595.62962633519419</v>
      </c>
      <c r="D83" s="191">
        <f>Financing!C34</f>
        <v>599.10413248881616</v>
      </c>
      <c r="E83" s="191">
        <f>Financing!D34</f>
        <v>602.59890659500093</v>
      </c>
      <c r="F83" s="191">
        <f>Financing!E34</f>
        <v>606.11406688347176</v>
      </c>
      <c r="G83" s="191">
        <f>Financing!F34</f>
        <v>609.64973227362532</v>
      </c>
      <c r="H83" s="191">
        <f>Financing!G34</f>
        <v>613.20602237855474</v>
      </c>
      <c r="I83" s="191">
        <f>Financing!H34</f>
        <v>616.78305750909635</v>
      </c>
      <c r="J83" s="191">
        <f>Financing!I34</f>
        <v>620.38095867789946</v>
      </c>
      <c r="K83" s="191">
        <f>Financing!J34</f>
        <v>623.99984760352049</v>
      </c>
      <c r="L83" s="191">
        <f>Financing!K34</f>
        <v>627.63984671454102</v>
      </c>
      <c r="M83" s="191">
        <f>Financing!L34</f>
        <v>631.30107915370922</v>
      </c>
      <c r="N83" s="191">
        <f>Financing!M34</f>
        <v>634.98366878210584</v>
      </c>
      <c r="O83" s="191">
        <f t="shared" si="17"/>
        <v>7381.3909453955357</v>
      </c>
    </row>
    <row r="84" spans="1:15">
      <c r="A84" t="s">
        <v>130</v>
      </c>
      <c r="B84" s="1" t="s">
        <v>150</v>
      </c>
      <c r="C84" s="187">
        <f>Financing!B33</f>
        <v>196.41831527878722</v>
      </c>
      <c r="D84" s="187">
        <f>Financing!C33</f>
        <v>192.94380912516527</v>
      </c>
      <c r="E84" s="187">
        <f>Financing!D33</f>
        <v>189.44903501898051</v>
      </c>
      <c r="F84" s="187">
        <f>Financing!E33</f>
        <v>185.93387473050967</v>
      </c>
      <c r="G84" s="187">
        <f>Financing!F33</f>
        <v>182.39820934035609</v>
      </c>
      <c r="H84" s="187">
        <f>Financing!G33</f>
        <v>178.84191923542662</v>
      </c>
      <c r="I84" s="187">
        <f>Financing!H33</f>
        <v>175.26488410488503</v>
      </c>
      <c r="J84" s="187">
        <f>Financing!I33</f>
        <v>171.66698293608195</v>
      </c>
      <c r="K84" s="187">
        <f>Financing!J33</f>
        <v>168.04809401046086</v>
      </c>
      <c r="L84" s="187">
        <f>Financing!K33</f>
        <v>164.40809489944033</v>
      </c>
      <c r="M84" s="187">
        <f>Financing!L33</f>
        <v>160.74686246027218</v>
      </c>
      <c r="N84" s="187">
        <f>Financing!M33</f>
        <v>157.06427283187557</v>
      </c>
      <c r="O84" s="187">
        <f t="shared" si="17"/>
        <v>2123.1843539722413</v>
      </c>
    </row>
    <row r="85" spans="1:15" ht="15" thickBot="1">
      <c r="A85" s="299" t="s">
        <v>26</v>
      </c>
      <c r="B85" s="4" t="s">
        <v>151</v>
      </c>
      <c r="C85" s="189">
        <v>3000</v>
      </c>
      <c r="D85" s="189">
        <v>3001</v>
      </c>
      <c r="E85" s="189">
        <v>3002</v>
      </c>
      <c r="F85" s="189">
        <v>3003</v>
      </c>
      <c r="G85" s="189">
        <v>3004</v>
      </c>
      <c r="H85" s="189">
        <v>3005</v>
      </c>
      <c r="I85" s="189">
        <v>3006</v>
      </c>
      <c r="J85" s="189">
        <v>3007</v>
      </c>
      <c r="K85" s="189">
        <v>3008</v>
      </c>
      <c r="L85" s="189">
        <v>3009</v>
      </c>
      <c r="M85" s="189">
        <v>3010</v>
      </c>
      <c r="N85" s="189">
        <v>3011</v>
      </c>
      <c r="O85" s="189">
        <f t="shared" si="17"/>
        <v>36066</v>
      </c>
    </row>
    <row r="86" spans="1:15" ht="15" thickBot="1">
      <c r="B86" s="180" t="s">
        <v>152</v>
      </c>
      <c r="C86" s="192">
        <f>SUM(C83:C85)</f>
        <v>3792.0479416139815</v>
      </c>
      <c r="D86" s="192">
        <f t="shared" ref="D86:N86" si="19">SUM(D83:D85)</f>
        <v>3793.0479416139815</v>
      </c>
      <c r="E86" s="192">
        <f t="shared" si="19"/>
        <v>3794.0479416139815</v>
      </c>
      <c r="F86" s="192">
        <f t="shared" si="19"/>
        <v>3795.0479416139815</v>
      </c>
      <c r="G86" s="192">
        <f t="shared" si="19"/>
        <v>3796.0479416139815</v>
      </c>
      <c r="H86" s="192">
        <f t="shared" si="19"/>
        <v>3797.0479416139815</v>
      </c>
      <c r="I86" s="192">
        <f t="shared" si="19"/>
        <v>3798.0479416139815</v>
      </c>
      <c r="J86" s="192">
        <f t="shared" si="19"/>
        <v>3799.0479416139815</v>
      </c>
      <c r="K86" s="192">
        <f t="shared" si="19"/>
        <v>3800.0479416139815</v>
      </c>
      <c r="L86" s="192">
        <f t="shared" si="19"/>
        <v>3801.0479416139815</v>
      </c>
      <c r="M86" s="192">
        <f t="shared" si="19"/>
        <v>3802.0479416139815</v>
      </c>
      <c r="N86" s="192">
        <f t="shared" si="19"/>
        <v>3803.0479416139815</v>
      </c>
      <c r="O86" s="195">
        <f t="shared" si="17"/>
        <v>45570.575299367774</v>
      </c>
    </row>
    <row r="87" spans="1:15" ht="15" thickBot="1">
      <c r="B87" s="184" t="s">
        <v>153</v>
      </c>
      <c r="C87" s="193">
        <f>C82+C86</f>
        <v>37072.120004113982</v>
      </c>
      <c r="D87" s="193">
        <f>D82+D86</f>
        <v>16923.120004113982</v>
      </c>
      <c r="E87" s="193">
        <f t="shared" ref="E87:N87" si="20">E82+E86</f>
        <v>18323.123241613983</v>
      </c>
      <c r="F87" s="193">
        <f t="shared" si="20"/>
        <v>19722.12647911398</v>
      </c>
      <c r="G87" s="193">
        <f t="shared" si="20"/>
        <v>23669.929716613984</v>
      </c>
      <c r="H87" s="193">
        <f t="shared" si="20"/>
        <v>21793.592066613983</v>
      </c>
      <c r="I87" s="193">
        <f t="shared" si="20"/>
        <v>19122.18882911398</v>
      </c>
      <c r="J87" s="193">
        <f t="shared" si="20"/>
        <v>20876.923241613982</v>
      </c>
      <c r="K87" s="193">
        <f t="shared" si="20"/>
        <v>23989.660891613981</v>
      </c>
      <c r="L87" s="193">
        <f t="shared" si="20"/>
        <v>24894.795304113981</v>
      </c>
      <c r="M87" s="193">
        <f t="shared" si="20"/>
        <v>19961.254416613981</v>
      </c>
      <c r="N87" s="193">
        <f t="shared" si="20"/>
        <v>15055.782354113981</v>
      </c>
      <c r="O87" s="196">
        <f t="shared" si="17"/>
        <v>261404.61654936778</v>
      </c>
    </row>
    <row r="88" spans="1:15" ht="15" thickTop="1"/>
    <row r="90" spans="1:15">
      <c r="B90" s="167" t="s">
        <v>154</v>
      </c>
      <c r="C90" s="17"/>
      <c r="D90" s="17"/>
      <c r="E90" s="17"/>
      <c r="F90" s="17"/>
      <c r="G90" s="17"/>
      <c r="H90" s="17"/>
      <c r="I90" s="17"/>
      <c r="J90" s="17"/>
      <c r="K90" s="17"/>
      <c r="L90" s="17"/>
      <c r="M90" s="17"/>
      <c r="N90" s="17"/>
      <c r="O90" s="17"/>
    </row>
    <row r="91" spans="1:15">
      <c r="B91" s="77" t="s">
        <v>155</v>
      </c>
      <c r="C91" s="122">
        <f>N49</f>
        <v>21900.947642246192</v>
      </c>
      <c r="D91" s="122">
        <f t="shared" ref="D91" si="21">C97</f>
        <v>1500</v>
      </c>
      <c r="E91" s="122">
        <f t="shared" ref="E91" si="22">D97</f>
        <v>1500</v>
      </c>
      <c r="F91" s="122">
        <f t="shared" ref="F91" si="23">E97</f>
        <v>8055.6767583860201</v>
      </c>
      <c r="G91" s="122">
        <f t="shared" ref="G91" si="24">F97</f>
        <v>22541.900279272038</v>
      </c>
      <c r="H91" s="122">
        <f t="shared" ref="H91" si="25">G97</f>
        <v>42409.870562658049</v>
      </c>
      <c r="I91" s="122">
        <f t="shared" ref="I91" si="26">H97</f>
        <v>51714.778496044062</v>
      </c>
      <c r="J91" s="122">
        <f t="shared" ref="J91" si="27">I97</f>
        <v>54361.539666930083</v>
      </c>
      <c r="K91" s="122">
        <f t="shared" ref="K91" si="28">J97</f>
        <v>58363.4164253161</v>
      </c>
      <c r="L91" s="122">
        <f t="shared" ref="L91" si="29">K97</f>
        <v>71691.955533702116</v>
      </c>
      <c r="M91" s="122">
        <f t="shared" ref="M91" si="30">L97</f>
        <v>87225.210229588134</v>
      </c>
      <c r="N91" s="122">
        <f t="shared" ref="N91" si="31">M97</f>
        <v>85923.05581297414</v>
      </c>
      <c r="O91" s="121">
        <f>SUM(C91:N91)</f>
        <v>507188.35140711686</v>
      </c>
    </row>
    <row r="92" spans="1:15">
      <c r="B92" s="77" t="s">
        <v>156</v>
      </c>
      <c r="C92" s="122">
        <f>C62</f>
        <v>15549.250000000002</v>
      </c>
      <c r="D92" s="122">
        <f t="shared" ref="D92:N92" si="32">D62</f>
        <v>15549.250000000002</v>
      </c>
      <c r="E92" s="122">
        <f t="shared" si="32"/>
        <v>24878.800000000003</v>
      </c>
      <c r="F92" s="122">
        <f t="shared" si="32"/>
        <v>34208.35</v>
      </c>
      <c r="G92" s="122">
        <f t="shared" si="32"/>
        <v>43537.9</v>
      </c>
      <c r="H92" s="122">
        <f t="shared" si="32"/>
        <v>31098.500000000004</v>
      </c>
      <c r="I92" s="122">
        <f t="shared" si="32"/>
        <v>21768.95</v>
      </c>
      <c r="J92" s="122">
        <f t="shared" si="32"/>
        <v>24878.800000000003</v>
      </c>
      <c r="K92" s="122">
        <f t="shared" si="32"/>
        <v>37318.199999999997</v>
      </c>
      <c r="L92" s="122">
        <f t="shared" si="32"/>
        <v>40428.050000000003</v>
      </c>
      <c r="M92" s="122">
        <f t="shared" si="32"/>
        <v>18659.099999999999</v>
      </c>
      <c r="N92" s="122">
        <f t="shared" si="32"/>
        <v>3109.8500000000004</v>
      </c>
      <c r="O92" s="121">
        <f t="shared" ref="O92:O95" si="33">SUM(C92:N92)</f>
        <v>310984.99999999994</v>
      </c>
    </row>
    <row r="93" spans="1:15">
      <c r="B93" s="77" t="s">
        <v>157</v>
      </c>
      <c r="C93" s="122">
        <f>C87</f>
        <v>37072.120004113982</v>
      </c>
      <c r="D93" s="122">
        <f t="shared" ref="D93:N93" si="34">D87</f>
        <v>16923.120004113982</v>
      </c>
      <c r="E93" s="122">
        <f t="shared" si="34"/>
        <v>18323.123241613983</v>
      </c>
      <c r="F93" s="122">
        <f t="shared" si="34"/>
        <v>19722.12647911398</v>
      </c>
      <c r="G93" s="122">
        <f t="shared" si="34"/>
        <v>23669.929716613984</v>
      </c>
      <c r="H93" s="122">
        <f t="shared" si="34"/>
        <v>21793.592066613983</v>
      </c>
      <c r="I93" s="122">
        <f t="shared" si="34"/>
        <v>19122.18882911398</v>
      </c>
      <c r="J93" s="122">
        <f t="shared" si="34"/>
        <v>20876.923241613982</v>
      </c>
      <c r="K93" s="122">
        <f t="shared" si="34"/>
        <v>23989.660891613981</v>
      </c>
      <c r="L93" s="122">
        <f t="shared" si="34"/>
        <v>24894.795304113981</v>
      </c>
      <c r="M93" s="122">
        <f t="shared" si="34"/>
        <v>19961.254416613981</v>
      </c>
      <c r="N93" s="122">
        <f t="shared" si="34"/>
        <v>15055.782354113981</v>
      </c>
      <c r="O93" s="121">
        <f t="shared" si="33"/>
        <v>261404.61654936778</v>
      </c>
    </row>
    <row r="94" spans="1:15">
      <c r="B94" s="77" t="s">
        <v>158</v>
      </c>
      <c r="C94" s="122">
        <f>C91+C92-C93</f>
        <v>378.07763813221391</v>
      </c>
      <c r="D94" s="122">
        <f>D91+D92-D93</f>
        <v>126.12999588601815</v>
      </c>
      <c r="E94" s="122">
        <f t="shared" ref="E94:N94" si="35">E91+E92-E93</f>
        <v>8055.6767583860201</v>
      </c>
      <c r="F94" s="122">
        <f t="shared" si="35"/>
        <v>22541.900279272038</v>
      </c>
      <c r="G94" s="122">
        <f t="shared" si="35"/>
        <v>42409.870562658049</v>
      </c>
      <c r="H94" s="122">
        <f t="shared" si="35"/>
        <v>51714.778496044062</v>
      </c>
      <c r="I94" s="122">
        <f t="shared" si="35"/>
        <v>54361.539666930083</v>
      </c>
      <c r="J94" s="122">
        <f t="shared" si="35"/>
        <v>58363.4164253161</v>
      </c>
      <c r="K94" s="122">
        <f t="shared" si="35"/>
        <v>71691.955533702116</v>
      </c>
      <c r="L94" s="122">
        <f t="shared" si="35"/>
        <v>87225.210229588134</v>
      </c>
      <c r="M94" s="122">
        <f t="shared" si="35"/>
        <v>85923.05581297414</v>
      </c>
      <c r="N94" s="122">
        <f t="shared" si="35"/>
        <v>73977.123458860166</v>
      </c>
      <c r="O94" s="121">
        <f t="shared" si="33"/>
        <v>556768.73485774919</v>
      </c>
    </row>
    <row r="95" spans="1:15">
      <c r="B95" s="197" t="s">
        <v>159</v>
      </c>
      <c r="C95" s="198">
        <f>Financing!$B$10</f>
        <v>1500</v>
      </c>
      <c r="D95" s="198">
        <f>Financing!$B$10</f>
        <v>1500</v>
      </c>
      <c r="E95" s="198">
        <f>Financing!$B$10</f>
        <v>1500</v>
      </c>
      <c r="F95" s="198">
        <f>Financing!$B$10</f>
        <v>1500</v>
      </c>
      <c r="G95" s="198">
        <f>Financing!$B$10</f>
        <v>1500</v>
      </c>
      <c r="H95" s="198">
        <f>Financing!$B$10</f>
        <v>1500</v>
      </c>
      <c r="I95" s="198">
        <f>Financing!$B$10</f>
        <v>1500</v>
      </c>
      <c r="J95" s="198">
        <f>Financing!$B$10</f>
        <v>1500</v>
      </c>
      <c r="K95" s="198">
        <f>Financing!$B$10</f>
        <v>1500</v>
      </c>
      <c r="L95" s="198">
        <f>Financing!$B$10</f>
        <v>1500</v>
      </c>
      <c r="M95" s="198">
        <f>Financing!$B$10</f>
        <v>1500</v>
      </c>
      <c r="N95" s="198">
        <f>Financing!$B$10</f>
        <v>1500</v>
      </c>
      <c r="O95" s="199">
        <f t="shared" si="33"/>
        <v>18000</v>
      </c>
    </row>
    <row r="96" spans="1:15">
      <c r="B96" s="77" t="s">
        <v>160</v>
      </c>
      <c r="C96" s="122">
        <f>IF(C94&lt;C95, C95-C94, 0)</f>
        <v>1121.9223618677861</v>
      </c>
      <c r="D96" s="122">
        <f t="shared" ref="D96:N96" si="36">IF(D94&lt;D95, D95-D94, 0)</f>
        <v>1373.8700041139818</v>
      </c>
      <c r="E96" s="122">
        <f t="shared" si="36"/>
        <v>0</v>
      </c>
      <c r="F96" s="122">
        <f t="shared" si="36"/>
        <v>0</v>
      </c>
      <c r="G96" s="122">
        <f t="shared" si="36"/>
        <v>0</v>
      </c>
      <c r="H96" s="122">
        <f t="shared" si="36"/>
        <v>0</v>
      </c>
      <c r="I96" s="122">
        <f t="shared" si="36"/>
        <v>0</v>
      </c>
      <c r="J96" s="122">
        <f t="shared" si="36"/>
        <v>0</v>
      </c>
      <c r="K96" s="122">
        <f t="shared" si="36"/>
        <v>0</v>
      </c>
      <c r="L96" s="122">
        <f t="shared" si="36"/>
        <v>0</v>
      </c>
      <c r="M96" s="122">
        <f t="shared" si="36"/>
        <v>0</v>
      </c>
      <c r="N96" s="122">
        <f t="shared" si="36"/>
        <v>0</v>
      </c>
      <c r="O96" s="121">
        <f>SUM(C96:N96)</f>
        <v>2495.7923659817679</v>
      </c>
    </row>
    <row r="97" spans="2:15">
      <c r="B97" s="77" t="s">
        <v>161</v>
      </c>
      <c r="C97" s="122">
        <f>C96-(-C94)</f>
        <v>1500</v>
      </c>
      <c r="D97" s="122">
        <f t="shared" ref="D97:N97" si="37">D96-(-D94)</f>
        <v>1500</v>
      </c>
      <c r="E97" s="122">
        <f t="shared" si="37"/>
        <v>8055.6767583860201</v>
      </c>
      <c r="F97" s="122">
        <f t="shared" si="37"/>
        <v>22541.900279272038</v>
      </c>
      <c r="G97" s="122">
        <f t="shared" si="37"/>
        <v>42409.870562658049</v>
      </c>
      <c r="H97" s="122">
        <f t="shared" si="37"/>
        <v>51714.778496044062</v>
      </c>
      <c r="I97" s="122">
        <f t="shared" si="37"/>
        <v>54361.539666930083</v>
      </c>
      <c r="J97" s="122">
        <f t="shared" si="37"/>
        <v>58363.4164253161</v>
      </c>
      <c r="K97" s="122">
        <f t="shared" si="37"/>
        <v>71691.955533702116</v>
      </c>
      <c r="L97" s="122">
        <f t="shared" si="37"/>
        <v>87225.210229588134</v>
      </c>
      <c r="M97" s="122">
        <f t="shared" si="37"/>
        <v>85923.05581297414</v>
      </c>
      <c r="N97" s="122">
        <f t="shared" si="37"/>
        <v>73977.123458860166</v>
      </c>
      <c r="O97" s="121">
        <f>SUM(C97:N97)</f>
        <v>559264.52722373093</v>
      </c>
    </row>
  </sheetData>
  <mergeCells count="3">
    <mergeCell ref="B2:G2"/>
    <mergeCell ref="B3:G3"/>
    <mergeCell ref="B1:G1"/>
  </mergeCells>
  <conditionalFormatting sqref="C46:O46">
    <cfRule type="cellIs" dxfId="1" priority="2" operator="lessThan">
      <formula>0</formula>
    </cfRule>
  </conditionalFormatting>
  <conditionalFormatting sqref="C94:O94">
    <cfRule type="cellIs" dxfId="0" priority="1" operator="lessThan">
      <formula>0</formula>
    </cfRule>
  </conditionalFormatting>
  <pageMargins left="0.38" right="0.25" top="0.75" bottom="0.75" header="0.3" footer="0.3"/>
  <pageSetup scale="68" orientation="landscape" r:id="rId1"/>
  <headerFooter>
    <oddFooter>&amp;LPrepared by: Miraj Sangani&amp;CCash Flow Statement &amp;R&amp;P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A630-6821-41CD-BABB-1A3BDAFBD1E8}">
  <sheetPr>
    <tabColor rgb="FF92D050"/>
    <pageSetUpPr fitToPage="1"/>
  </sheetPr>
  <dimension ref="A1:H41"/>
  <sheetViews>
    <sheetView zoomScaleNormal="100" zoomScalePageLayoutView="55" workbookViewId="0">
      <selection activeCell="B4" sqref="B4"/>
    </sheetView>
  </sheetViews>
  <sheetFormatPr defaultRowHeight="14.5"/>
  <cols>
    <col min="1" max="1" width="1.1796875" customWidth="1"/>
    <col min="2" max="2" width="30.453125" bestFit="1" customWidth="1"/>
    <col min="3" max="3" width="12.453125" bestFit="1" customWidth="1"/>
    <col min="4" max="4" width="9.81640625" bestFit="1" customWidth="1"/>
    <col min="5" max="5" width="10" bestFit="1" customWidth="1"/>
    <col min="6" max="6" width="9.26953125" bestFit="1" customWidth="1"/>
    <col min="7" max="7" width="19.7265625" bestFit="1" customWidth="1"/>
    <col min="8" max="8" width="36" bestFit="1" customWidth="1"/>
  </cols>
  <sheetData>
    <row r="1" spans="1:8" ht="15" thickBot="1">
      <c r="B1" s="324" t="s">
        <v>108</v>
      </c>
      <c r="C1" s="324"/>
      <c r="D1" s="324"/>
      <c r="E1" s="324"/>
      <c r="F1" s="324"/>
    </row>
    <row r="2" spans="1:8">
      <c r="B2" s="314" t="s">
        <v>162</v>
      </c>
      <c r="C2" s="315"/>
      <c r="D2" s="315"/>
      <c r="E2" s="315"/>
      <c r="F2" s="316"/>
    </row>
    <row r="3" spans="1:8">
      <c r="B3" s="321" t="s">
        <v>110</v>
      </c>
      <c r="C3" s="322"/>
      <c r="D3" s="322"/>
      <c r="E3" s="322"/>
      <c r="F3" s="323"/>
    </row>
    <row r="4" spans="1:8" ht="16" customHeight="1">
      <c r="A4" s="17"/>
    </row>
    <row r="5" spans="1:8" ht="16" customHeight="1">
      <c r="A5" s="17"/>
      <c r="C5" s="325">
        <v>2026</v>
      </c>
      <c r="D5" s="325"/>
      <c r="E5" s="325">
        <v>2027</v>
      </c>
      <c r="F5" s="325"/>
    </row>
    <row r="6" spans="1:8" ht="16" customHeight="1">
      <c r="A6" s="17"/>
      <c r="B6" s="21" t="s">
        <v>46</v>
      </c>
      <c r="C6" s="21" t="s">
        <v>163</v>
      </c>
      <c r="D6" s="21" t="s">
        <v>164</v>
      </c>
      <c r="E6" s="21" t="s">
        <v>163</v>
      </c>
      <c r="F6" s="21" t="s">
        <v>164</v>
      </c>
      <c r="G6" s="21" t="s">
        <v>165</v>
      </c>
      <c r="H6" s="21" t="s">
        <v>126</v>
      </c>
    </row>
    <row r="7" spans="1:8" ht="16" customHeight="1">
      <c r="A7" s="17"/>
      <c r="B7" s="21" t="s">
        <v>166</v>
      </c>
      <c r="C7" s="1"/>
      <c r="D7" s="1"/>
      <c r="E7" s="1"/>
      <c r="F7" s="1"/>
      <c r="G7" s="1"/>
      <c r="H7" s="1"/>
    </row>
    <row r="8" spans="1:8" ht="16" customHeight="1">
      <c r="A8" s="17"/>
      <c r="B8" s="1" t="s">
        <v>167</v>
      </c>
      <c r="C8" s="187">
        <f>Sales!C11</f>
        <v>100860</v>
      </c>
      <c r="D8" s="209">
        <f>C8/$C$10</f>
        <v>0.6</v>
      </c>
      <c r="E8" s="187">
        <f>Sales!N41</f>
        <v>186591</v>
      </c>
      <c r="F8" s="209">
        <f>E8/$E$10</f>
        <v>0.60000000000000009</v>
      </c>
      <c r="G8" s="209"/>
      <c r="H8" s="1"/>
    </row>
    <row r="9" spans="1:8" ht="16" customHeight="1" thickBot="1">
      <c r="A9" s="17"/>
      <c r="B9" s="4" t="s">
        <v>168</v>
      </c>
      <c r="C9" s="189">
        <f>Sales!C12</f>
        <v>67240</v>
      </c>
      <c r="D9" s="210">
        <f>C9/$C$10</f>
        <v>0.4</v>
      </c>
      <c r="E9" s="189">
        <f>Sales!N44</f>
        <v>124394.00000000001</v>
      </c>
      <c r="F9" s="210">
        <f>E9/$E$10</f>
        <v>0.40000000000000013</v>
      </c>
      <c r="G9" s="210"/>
      <c r="H9" s="4"/>
    </row>
    <row r="10" spans="1:8" ht="16" customHeight="1" thickBot="1">
      <c r="A10" s="17"/>
      <c r="B10" s="200" t="s">
        <v>169</v>
      </c>
      <c r="C10" s="204">
        <v>168100</v>
      </c>
      <c r="D10" s="211">
        <f>C10/$C$10</f>
        <v>1</v>
      </c>
      <c r="E10" s="204">
        <f>Sales!N47</f>
        <v>310984.99999999994</v>
      </c>
      <c r="F10" s="211">
        <f>E10/$E$10</f>
        <v>1</v>
      </c>
      <c r="G10" s="211">
        <f>'NAICS%'!E10%</f>
        <v>1</v>
      </c>
      <c r="H10" s="201" t="s">
        <v>170</v>
      </c>
    </row>
    <row r="11" spans="1:8" ht="16" customHeight="1">
      <c r="A11" s="17"/>
      <c r="B11" s="177"/>
      <c r="C11" s="191"/>
      <c r="D11" s="212"/>
      <c r="E11" s="191"/>
      <c r="F11" s="212"/>
      <c r="G11" s="212"/>
      <c r="H11" s="177"/>
    </row>
    <row r="12" spans="1:8" ht="16" customHeight="1">
      <c r="A12" s="17"/>
      <c r="B12" s="21" t="s">
        <v>171</v>
      </c>
      <c r="C12" s="187"/>
      <c r="D12" s="209"/>
      <c r="E12" s="187"/>
      <c r="F12" s="209"/>
      <c r="G12" s="209"/>
      <c r="H12" s="1"/>
    </row>
    <row r="13" spans="1:8" ht="16" customHeight="1">
      <c r="A13" s="17"/>
      <c r="B13" s="1" t="s">
        <v>172</v>
      </c>
      <c r="C13" s="187">
        <f>CFF!O21+CFF!O22</f>
        <v>60880.800000000003</v>
      </c>
      <c r="D13" s="209">
        <f>C13/$C$10</f>
        <v>0.36217013682331944</v>
      </c>
      <c r="E13" s="187">
        <f>'HR Exp'!N35</f>
        <v>121761.60000000001</v>
      </c>
      <c r="F13" s="209">
        <f>E13/$E$10</f>
        <v>0.39153528305223734</v>
      </c>
      <c r="G13" s="209">
        <f>'NAICS%'!E14%</f>
        <v>4.4999999999999998E-2</v>
      </c>
      <c r="H13" s="1" t="s">
        <v>173</v>
      </c>
    </row>
    <row r="14" spans="1:8" ht="16" customHeight="1">
      <c r="A14" s="17"/>
      <c r="B14" s="1" t="s">
        <v>134</v>
      </c>
      <c r="C14" s="187">
        <f>CFF!O23</f>
        <v>16809</v>
      </c>
      <c r="D14" s="209">
        <f>C14/$C$10</f>
        <v>9.99940511600238E-2</v>
      </c>
      <c r="E14" s="187">
        <f>CFF!O70</f>
        <v>16809</v>
      </c>
      <c r="F14" s="209">
        <f>E14/$E$10</f>
        <v>5.4050838464877737E-2</v>
      </c>
      <c r="G14" s="209">
        <f>'NAICS%'!E15%</f>
        <v>0.11</v>
      </c>
      <c r="H14" s="1" t="s">
        <v>174</v>
      </c>
    </row>
    <row r="15" spans="1:8" ht="16" customHeight="1" thickBot="1">
      <c r="A15" s="17"/>
      <c r="B15" s="4" t="s">
        <v>136</v>
      </c>
      <c r="C15" s="189">
        <f>CFF!O24</f>
        <v>4600</v>
      </c>
      <c r="D15" s="210">
        <f>C15/$C$10</f>
        <v>2.7364663890541343E-2</v>
      </c>
      <c r="E15" s="189">
        <f>CFF!O71</f>
        <v>4600</v>
      </c>
      <c r="F15" s="210">
        <f>E15/$E$10</f>
        <v>1.4791710211103433E-2</v>
      </c>
      <c r="G15" s="210"/>
      <c r="H15" s="4" t="s">
        <v>175</v>
      </c>
    </row>
    <row r="16" spans="1:8" ht="16" customHeight="1" thickBot="1">
      <c r="A16" s="17"/>
      <c r="B16" s="200" t="s">
        <v>176</v>
      </c>
      <c r="C16" s="204">
        <f>SUM(C13:C15)</f>
        <v>82289.8</v>
      </c>
      <c r="D16" s="211">
        <f>C16/$C$10</f>
        <v>0.48952885187388462</v>
      </c>
      <c r="E16" s="204">
        <f>SUM(E13:E15)</f>
        <v>143170.6</v>
      </c>
      <c r="F16" s="211">
        <f>E16/$E$10</f>
        <v>0.4603778317282185</v>
      </c>
      <c r="G16" s="211">
        <f>'NAICS%'!E13%</f>
        <v>0.15399999618530275</v>
      </c>
      <c r="H16" s="201" t="s">
        <v>177</v>
      </c>
    </row>
    <row r="17" spans="1:8" ht="16" customHeight="1" thickBot="1">
      <c r="A17" s="17"/>
      <c r="B17" s="202"/>
      <c r="C17" s="205"/>
      <c r="D17" s="213"/>
      <c r="E17" s="205"/>
      <c r="F17" s="213"/>
      <c r="G17" s="213"/>
      <c r="H17" s="202"/>
    </row>
    <row r="18" spans="1:8" ht="16" customHeight="1" thickBot="1">
      <c r="A18" s="17"/>
      <c r="B18" s="200" t="s">
        <v>178</v>
      </c>
      <c r="C18" s="204">
        <f>C10-C16</f>
        <v>85810.2</v>
      </c>
      <c r="D18" s="211">
        <f>C18/$C$10</f>
        <v>0.51047114812611538</v>
      </c>
      <c r="E18" s="204">
        <f>E10-E16</f>
        <v>167814.39999999994</v>
      </c>
      <c r="F18" s="211">
        <f>E18/$E$10</f>
        <v>0.53962216827178144</v>
      </c>
      <c r="G18" s="211">
        <f>'NAICS%'!E36%</f>
        <v>0.84599998474121096</v>
      </c>
      <c r="H18" s="201"/>
    </row>
    <row r="19" spans="1:8" ht="16" customHeight="1" thickBot="1">
      <c r="A19" s="17"/>
      <c r="B19" s="5"/>
      <c r="C19" s="191"/>
      <c r="D19" s="212"/>
      <c r="E19" s="191"/>
      <c r="F19" s="212"/>
      <c r="G19" s="212"/>
      <c r="H19" s="177"/>
    </row>
    <row r="20" spans="1:8" ht="16" customHeight="1" thickBot="1">
      <c r="A20" s="17"/>
      <c r="B20" s="203" t="s">
        <v>179</v>
      </c>
      <c r="C20" s="206"/>
      <c r="D20" s="209"/>
      <c r="E20" s="206"/>
      <c r="F20" s="209"/>
      <c r="G20" s="209"/>
      <c r="H20" s="1"/>
    </row>
    <row r="21" spans="1:8" ht="16" customHeight="1">
      <c r="A21" s="17"/>
      <c r="B21" s="177" t="s">
        <v>180</v>
      </c>
      <c r="C21" s="187">
        <f>Assets!E8</f>
        <v>12217</v>
      </c>
      <c r="D21" s="209">
        <f t="shared" ref="D21:D27" si="0">C21/$C$10</f>
        <v>7.2676977989292083E-2</v>
      </c>
      <c r="E21" s="187">
        <f>Assets!C14</f>
        <v>12217</v>
      </c>
      <c r="F21" s="209">
        <f t="shared" ref="F21:F27" si="1">E21/$E$10</f>
        <v>3.9284852967184918E-2</v>
      </c>
      <c r="G21" s="209">
        <f>'NAICS%'!E20%</f>
        <v>2.9000000953674318E-2</v>
      </c>
      <c r="H21" s="1" t="s">
        <v>181</v>
      </c>
    </row>
    <row r="22" spans="1:8" ht="16" customHeight="1">
      <c r="A22" s="17"/>
      <c r="B22" s="1" t="s">
        <v>182</v>
      </c>
      <c r="C22" s="187">
        <f>CFF!O24</f>
        <v>4600</v>
      </c>
      <c r="D22" s="209">
        <f t="shared" si="0"/>
        <v>2.7364663890541343E-2</v>
      </c>
      <c r="E22" s="233">
        <f>CFF!O24</f>
        <v>4600</v>
      </c>
      <c r="F22" s="209">
        <f t="shared" si="1"/>
        <v>1.4791710211103433E-2</v>
      </c>
      <c r="G22" s="209"/>
      <c r="H22" s="1" t="s">
        <v>183</v>
      </c>
    </row>
    <row r="23" spans="1:8" ht="16" customHeight="1">
      <c r="A23" s="17"/>
      <c r="B23" s="1" t="s">
        <v>138</v>
      </c>
      <c r="C23" s="187">
        <f>CFF!O25</f>
        <v>2400</v>
      </c>
      <c r="D23" s="209">
        <f t="shared" si="0"/>
        <v>1.4277215942891136E-2</v>
      </c>
      <c r="E23" s="233">
        <f>CFF!O25</f>
        <v>2400</v>
      </c>
      <c r="F23" s="209">
        <f t="shared" si="1"/>
        <v>7.7174140231843994E-3</v>
      </c>
      <c r="G23" s="209">
        <f>'NAICS%'!E21%</f>
        <v>2.0999999046325685E-2</v>
      </c>
      <c r="H23" s="1" t="s">
        <v>183</v>
      </c>
    </row>
    <row r="24" spans="1:8" ht="16" customHeight="1">
      <c r="A24" s="17"/>
      <c r="B24" s="1" t="s">
        <v>139</v>
      </c>
      <c r="C24" s="187">
        <f>CFF!O27</f>
        <v>4200</v>
      </c>
      <c r="D24" s="209">
        <f t="shared" si="0"/>
        <v>2.4985127900059488E-2</v>
      </c>
      <c r="E24" s="233">
        <f>CFF!O27</f>
        <v>4200</v>
      </c>
      <c r="F24" s="209">
        <f t="shared" si="1"/>
        <v>1.3505474540572699E-2</v>
      </c>
      <c r="G24" s="209">
        <f>'NAICS%'!E22%</f>
        <v>3.2000000476837161E-2</v>
      </c>
      <c r="H24" s="1" t="s">
        <v>184</v>
      </c>
    </row>
    <row r="25" spans="1:8" ht="16" customHeight="1">
      <c r="A25" s="17"/>
      <c r="B25" s="1" t="s">
        <v>142</v>
      </c>
      <c r="C25" s="187">
        <f>CFF!O29</f>
        <v>3600</v>
      </c>
      <c r="D25" s="209">
        <f t="shared" si="0"/>
        <v>2.1415823914336704E-2</v>
      </c>
      <c r="E25" s="233">
        <f>CFF!O29</f>
        <v>3600</v>
      </c>
      <c r="F25" s="209">
        <f t="shared" si="1"/>
        <v>1.1576121034776598E-2</v>
      </c>
      <c r="G25" s="209">
        <f>'NAICS%'!E27%</f>
        <v>1.0000000149011613E-3</v>
      </c>
      <c r="H25" s="1" t="s">
        <v>185</v>
      </c>
    </row>
    <row r="26" spans="1:8" ht="16" customHeight="1">
      <c r="A26" s="17"/>
      <c r="B26" s="1" t="s">
        <v>186</v>
      </c>
      <c r="C26" s="187">
        <f>CFF!O30</f>
        <v>4200</v>
      </c>
      <c r="D26" s="209">
        <f t="shared" si="0"/>
        <v>2.4985127900059488E-2</v>
      </c>
      <c r="E26" s="233">
        <f>CFF!O78+CFF!O77</f>
        <v>9600</v>
      </c>
      <c r="F26" s="209">
        <f t="shared" si="1"/>
        <v>3.0869656092737598E-2</v>
      </c>
      <c r="G26" s="209">
        <f>'NAICS%'!E28%</f>
        <v>1.4999999999999999E-2</v>
      </c>
      <c r="H26" s="1" t="s">
        <v>186</v>
      </c>
    </row>
    <row r="27" spans="1:8" ht="16" customHeight="1">
      <c r="A27" s="17"/>
      <c r="B27" s="1" t="s">
        <v>187</v>
      </c>
      <c r="C27" s="187">
        <f>SUM(C28:C30)</f>
        <v>4082.9635484030318</v>
      </c>
      <c r="D27" s="209">
        <f t="shared" si="0"/>
        <v>2.4288896778126304E-2</v>
      </c>
      <c r="E27" s="233">
        <f>SUM(E28:E30)</f>
        <v>4857.8256039722419</v>
      </c>
      <c r="F27" s="209">
        <f t="shared" si="1"/>
        <v>1.5620771432616502E-2</v>
      </c>
      <c r="G27" s="209">
        <f>'NAICS%'!E24%</f>
        <v>1.2000000476837159E-2</v>
      </c>
      <c r="H27" s="1" t="s">
        <v>188</v>
      </c>
    </row>
    <row r="28" spans="1:8" ht="16" customHeight="1">
      <c r="A28" s="17"/>
      <c r="B28" s="1" t="s">
        <v>147</v>
      </c>
      <c r="C28" s="207">
        <f>CFF!O34</f>
        <v>1218.7249999999999</v>
      </c>
      <c r="D28" s="209"/>
      <c r="E28" s="207">
        <f>CFF!O81</f>
        <v>2254.6412500000001</v>
      </c>
      <c r="F28" s="209"/>
      <c r="G28" s="209"/>
      <c r="H28" s="1"/>
    </row>
    <row r="29" spans="1:8" ht="16" customHeight="1">
      <c r="A29" s="17"/>
      <c r="B29" s="1" t="s">
        <v>189</v>
      </c>
      <c r="C29" s="207">
        <f>Financing!N25</f>
        <v>2384.2385484030319</v>
      </c>
      <c r="D29" s="209"/>
      <c r="E29" s="207">
        <f>Financing!N33</f>
        <v>2123.1843539722413</v>
      </c>
      <c r="F29" s="209"/>
      <c r="G29" s="209"/>
      <c r="H29" s="1" t="s">
        <v>188</v>
      </c>
    </row>
    <row r="30" spans="1:8" ht="16" customHeight="1">
      <c r="A30" s="17"/>
      <c r="B30" s="1" t="s">
        <v>145</v>
      </c>
      <c r="C30" s="207">
        <f>CFF!O32</f>
        <v>480</v>
      </c>
      <c r="D30" s="209"/>
      <c r="E30" s="207">
        <f>CFF!O79</f>
        <v>480</v>
      </c>
      <c r="F30" s="209"/>
      <c r="G30" s="209"/>
      <c r="H30" s="1" t="s">
        <v>188</v>
      </c>
    </row>
    <row r="31" spans="1:8">
      <c r="A31" s="17"/>
      <c r="B31" s="1" t="s">
        <v>141</v>
      </c>
      <c r="C31" s="187">
        <f>CFF!O28</f>
        <v>33598.000000000007</v>
      </c>
      <c r="D31" s="209">
        <f>C31/$C$10</f>
        <v>0.19986912552052355</v>
      </c>
      <c r="E31" s="187">
        <f>CFF!O75</f>
        <v>45028.80000000001</v>
      </c>
      <c r="F31" s="209">
        <f>E31/$E$10</f>
        <v>0.14479412190298574</v>
      </c>
      <c r="G31" s="209">
        <f>'NAICS%'!E26%</f>
        <v>1.4999999999999999E-2</v>
      </c>
      <c r="H31" s="1" t="s">
        <v>190</v>
      </c>
    </row>
    <row r="32" spans="1:8" ht="15" thickBot="1">
      <c r="A32" s="17"/>
      <c r="B32" s="4" t="s">
        <v>146</v>
      </c>
      <c r="C32" s="189">
        <f>CFF!O33</f>
        <v>1200</v>
      </c>
      <c r="D32" s="210">
        <f>C32/$C$10</f>
        <v>7.138607971445568E-3</v>
      </c>
      <c r="E32" s="189">
        <f>CFF!Q33</f>
        <v>0</v>
      </c>
      <c r="F32" s="210">
        <f>E32/$C$10</f>
        <v>0</v>
      </c>
      <c r="G32" s="210">
        <f>'NAICS%'!E29%</f>
        <v>0.14800000190734863</v>
      </c>
      <c r="H32" s="4" t="s">
        <v>191</v>
      </c>
    </row>
    <row r="33" spans="1:8" ht="15" thickBot="1">
      <c r="A33" s="17"/>
      <c r="B33" s="200" t="s">
        <v>148</v>
      </c>
      <c r="C33" s="204">
        <f>SUM(C21:C27,C31:C32)</f>
        <v>70097.96354840303</v>
      </c>
      <c r="D33" s="211">
        <f>SUM(D21:D27,D31:D32)</f>
        <v>0.41700156780727565</v>
      </c>
      <c r="E33" s="204">
        <f>SUM(E21:E27,E31:E32)</f>
        <v>86503.62560397225</v>
      </c>
      <c r="F33" s="211">
        <f>SUM(F21:F27,F31:F32)</f>
        <v>0.27816012220516184</v>
      </c>
      <c r="G33" s="211">
        <f>'NAICS%'!E18%</f>
        <v>0.58799999237060552</v>
      </c>
      <c r="H33" s="201" t="s">
        <v>192</v>
      </c>
    </row>
    <row r="34" spans="1:8" ht="15" thickBot="1">
      <c r="A34" s="17"/>
      <c r="B34" s="5"/>
      <c r="C34" s="208"/>
      <c r="D34" s="214"/>
      <c r="E34" s="208"/>
      <c r="F34" s="214"/>
      <c r="G34" s="214"/>
      <c r="H34" s="5"/>
    </row>
    <row r="35" spans="1:8" ht="15" thickBot="1">
      <c r="A35" s="17"/>
      <c r="B35" s="200" t="s">
        <v>193</v>
      </c>
      <c r="C35" s="204">
        <f>C18-C33</f>
        <v>15712.236451596968</v>
      </c>
      <c r="D35" s="211">
        <f>C35/C10</f>
        <v>9.3469580318839784E-2</v>
      </c>
      <c r="E35" s="204">
        <f>E18-E33</f>
        <v>81310.774396027686</v>
      </c>
      <c r="F35" s="211">
        <f>E35/E10</f>
        <v>0.2614620460666196</v>
      </c>
      <c r="G35" s="211">
        <f>'NAICS%'!E31%</f>
        <v>0.25799999237060545</v>
      </c>
      <c r="H35" s="201" t="s">
        <v>194</v>
      </c>
    </row>
    <row r="36" spans="1:8">
      <c r="A36" s="17"/>
    </row>
    <row r="37" spans="1:8">
      <c r="A37" s="17"/>
    </row>
    <row r="38" spans="1:8">
      <c r="A38" s="17"/>
    </row>
    <row r="39" spans="1:8">
      <c r="A39" s="17"/>
    </row>
    <row r="40" spans="1:8">
      <c r="A40" s="17"/>
    </row>
    <row r="41" spans="1:8">
      <c r="A41" s="17"/>
    </row>
  </sheetData>
  <mergeCells count="5">
    <mergeCell ref="B2:F2"/>
    <mergeCell ref="B3:F3"/>
    <mergeCell ref="B1:F1"/>
    <mergeCell ref="E5:F5"/>
    <mergeCell ref="C5:D5"/>
  </mergeCells>
  <pageMargins left="0.38" right="0.25" top="0.75" bottom="0.75" header="0.3" footer="0.3"/>
  <pageSetup scale="90" orientation="portrait" r:id="rId1"/>
  <headerFooter>
    <oddFooter>&amp;LPrepared by: Miraj Sangani&amp;CIncome Statement &amp;R&amp;P</oddFooter>
  </headerFooter>
  <ignoredErrors>
    <ignoredError sqref="E8:E30 D8:D35 E32:E33 E35"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E3D51-DDE1-4522-BD30-BDE956FD1E3F}">
  <sheetPr>
    <tabColor rgb="FF92D050"/>
    <pageSetUpPr fitToPage="1"/>
  </sheetPr>
  <dimension ref="B1:G37"/>
  <sheetViews>
    <sheetView zoomScaleNormal="100" zoomScalePageLayoutView="55" workbookViewId="0">
      <selection activeCell="B2" sqref="B2:D2"/>
    </sheetView>
  </sheetViews>
  <sheetFormatPr defaultColWidth="8.7265625" defaultRowHeight="14"/>
  <cols>
    <col min="1" max="1" width="1.81640625" style="17" customWidth="1"/>
    <col min="2" max="2" width="3.26953125" style="17" customWidth="1"/>
    <col min="3" max="3" width="30.453125" style="17" bestFit="1" customWidth="1"/>
    <col min="4" max="4" width="24.81640625" style="17" bestFit="1" customWidth="1"/>
    <col min="5" max="5" width="23.81640625" style="17" bestFit="1" customWidth="1"/>
    <col min="6" max="16384" width="8.7265625" style="17"/>
  </cols>
  <sheetData>
    <row r="1" spans="2:5" ht="14.5" thickBot="1">
      <c r="B1" s="320" t="s">
        <v>108</v>
      </c>
      <c r="C1" s="320"/>
      <c r="D1" s="320"/>
    </row>
    <row r="2" spans="2:5" ht="15" customHeight="1" thickBot="1">
      <c r="B2" s="326" t="s">
        <v>195</v>
      </c>
      <c r="C2" s="327"/>
      <c r="D2" s="327"/>
    </row>
    <row r="4" spans="2:5">
      <c r="B4" s="215"/>
      <c r="D4" s="116" t="s">
        <v>196</v>
      </c>
      <c r="E4" s="116" t="s">
        <v>197</v>
      </c>
    </row>
    <row r="5" spans="2:5">
      <c r="C5" s="116" t="s">
        <v>22</v>
      </c>
      <c r="D5" s="77"/>
      <c r="E5" s="77"/>
    </row>
    <row r="6" spans="2:5">
      <c r="C6" s="116" t="s">
        <v>83</v>
      </c>
      <c r="D6" s="77"/>
      <c r="E6" s="77"/>
    </row>
    <row r="7" spans="2:5">
      <c r="C7" s="77" t="s">
        <v>198</v>
      </c>
      <c r="D7" s="122">
        <f>CFF!N49</f>
        <v>21900.947642246192</v>
      </c>
      <c r="E7" s="122">
        <f>CFF!N97</f>
        <v>73977.123458860166</v>
      </c>
    </row>
    <row r="8" spans="2:5">
      <c r="C8" s="77" t="s">
        <v>199</v>
      </c>
      <c r="D8" s="122">
        <f>CFF!N23</f>
        <v>168</v>
      </c>
      <c r="E8" s="122">
        <f>CFF!N70</f>
        <v>168</v>
      </c>
    </row>
    <row r="9" spans="2:5">
      <c r="C9" s="77" t="s">
        <v>200</v>
      </c>
      <c r="D9" s="122">
        <v>0</v>
      </c>
      <c r="E9" s="122">
        <v>0</v>
      </c>
    </row>
    <row r="10" spans="2:5" ht="14.5" thickBot="1">
      <c r="C10" s="216" t="s">
        <v>87</v>
      </c>
      <c r="D10" s="217">
        <f>SUM(D7:D9)</f>
        <v>22068.947642246192</v>
      </c>
      <c r="E10" s="217">
        <f>SUM(E7:E9)</f>
        <v>74145.123458860166</v>
      </c>
    </row>
    <row r="11" spans="2:5" ht="14.5" thickTop="1">
      <c r="C11" s="215"/>
      <c r="D11" s="218"/>
      <c r="E11" s="218"/>
    </row>
    <row r="12" spans="2:5">
      <c r="C12" s="219" t="s">
        <v>201</v>
      </c>
      <c r="D12" s="130"/>
      <c r="E12" s="130"/>
    </row>
    <row r="13" spans="2:5">
      <c r="C13" s="77" t="s">
        <v>202</v>
      </c>
      <c r="D13" s="122">
        <f>Assets!B8</f>
        <v>62200</v>
      </c>
      <c r="E13" s="122">
        <f>Assets!C13</f>
        <v>49983</v>
      </c>
    </row>
    <row r="14" spans="2:5">
      <c r="C14" s="77" t="s">
        <v>203</v>
      </c>
      <c r="D14" s="122">
        <f>Assets!E8</f>
        <v>12217</v>
      </c>
      <c r="E14" s="122">
        <f>Assets!C14</f>
        <v>12217</v>
      </c>
    </row>
    <row r="15" spans="2:5">
      <c r="C15" s="116" t="s">
        <v>204</v>
      </c>
      <c r="D15" s="121">
        <f>D13-D14</f>
        <v>49983</v>
      </c>
      <c r="E15" s="121">
        <f>E13-E14</f>
        <v>37766</v>
      </c>
    </row>
    <row r="16" spans="2:5">
      <c r="C16" s="77"/>
      <c r="D16" s="122"/>
      <c r="E16" s="122"/>
    </row>
    <row r="17" spans="3:7" ht="14.5" thickBot="1">
      <c r="C17" s="216" t="s">
        <v>94</v>
      </c>
      <c r="D17" s="217">
        <f>D10+D15</f>
        <v>72051.947642246188</v>
      </c>
      <c r="E17" s="217">
        <f>E10+E15</f>
        <v>111911.12345886017</v>
      </c>
    </row>
    <row r="18" spans="3:7" ht="14.5" thickTop="1">
      <c r="C18" s="215"/>
      <c r="D18" s="218"/>
      <c r="E18" s="218"/>
    </row>
    <row r="19" spans="3:7">
      <c r="C19" s="219" t="s">
        <v>205</v>
      </c>
      <c r="D19" s="130"/>
      <c r="E19" s="130"/>
    </row>
    <row r="20" spans="3:7">
      <c r="C20" s="116" t="s">
        <v>206</v>
      </c>
      <c r="D20" s="122"/>
      <c r="E20" s="122"/>
    </row>
    <row r="21" spans="3:7">
      <c r="C21" s="77" t="s">
        <v>207</v>
      </c>
      <c r="D21" s="122">
        <v>0</v>
      </c>
      <c r="E21" s="122">
        <v>0</v>
      </c>
    </row>
    <row r="22" spans="3:7">
      <c r="C22" s="77" t="s">
        <v>123</v>
      </c>
      <c r="D22" s="122">
        <v>0</v>
      </c>
      <c r="E22" s="122">
        <v>0</v>
      </c>
    </row>
    <row r="23" spans="3:7">
      <c r="C23" s="116" t="s">
        <v>208</v>
      </c>
      <c r="D23" s="122">
        <f>Financing!M27</f>
        <v>33671.711190649236</v>
      </c>
      <c r="E23" s="122">
        <f>Financing!M35</f>
        <v>26290.320245253697</v>
      </c>
    </row>
    <row r="24" spans="3:7">
      <c r="C24" s="77"/>
      <c r="D24" s="122"/>
      <c r="E24" s="122"/>
    </row>
    <row r="25" spans="3:7" ht="14.5" thickBot="1">
      <c r="C25" s="216" t="s">
        <v>209</v>
      </c>
      <c r="D25" s="217">
        <f>SUM(D21:D23)</f>
        <v>33671.711190649236</v>
      </c>
      <c r="E25" s="217">
        <f>SUM(E21:E23)</f>
        <v>26290.320245253697</v>
      </c>
    </row>
    <row r="26" spans="3:7" ht="14.5" thickTop="1">
      <c r="D26" s="220"/>
      <c r="E26" s="220"/>
    </row>
    <row r="27" spans="3:7">
      <c r="C27" s="215"/>
      <c r="D27" s="218"/>
      <c r="E27" s="218"/>
    </row>
    <row r="28" spans="3:7">
      <c r="C28" s="219" t="s">
        <v>210</v>
      </c>
      <c r="D28" s="130"/>
      <c r="E28" s="130"/>
    </row>
    <row r="29" spans="3:7">
      <c r="C29" s="77" t="s">
        <v>211</v>
      </c>
      <c r="D29" s="122">
        <v>4668</v>
      </c>
      <c r="E29" s="122">
        <v>48157.356893211021</v>
      </c>
      <c r="G29" s="220"/>
    </row>
    <row r="30" spans="3:7">
      <c r="C30" s="77" t="s">
        <v>212</v>
      </c>
      <c r="D30" s="122">
        <f>IS!C35</f>
        <v>15712.236451596968</v>
      </c>
      <c r="E30" s="122">
        <f>IS!E35</f>
        <v>81310.774396027686</v>
      </c>
    </row>
    <row r="31" spans="3:7">
      <c r="C31" s="77" t="s">
        <v>213</v>
      </c>
      <c r="D31" s="122">
        <f>Startup!B39</f>
        <v>50000</v>
      </c>
      <c r="E31" s="122">
        <f>CFF!C60</f>
        <v>0</v>
      </c>
    </row>
    <row r="32" spans="3:7">
      <c r="C32" s="77" t="s">
        <v>214</v>
      </c>
      <c r="D32" s="122">
        <v>0</v>
      </c>
      <c r="E32" s="122">
        <v>0</v>
      </c>
    </row>
    <row r="33" spans="2:5">
      <c r="C33" s="77" t="s">
        <v>215</v>
      </c>
      <c r="D33" s="122">
        <f>CFF!O38</f>
        <v>27000</v>
      </c>
      <c r="E33" s="122">
        <f>CFF!O85</f>
        <v>36066</v>
      </c>
    </row>
    <row r="34" spans="2:5" ht="14.5" thickBot="1">
      <c r="C34" s="216" t="s">
        <v>216</v>
      </c>
      <c r="D34" s="217">
        <f>SUM(D29:D32)-D33</f>
        <v>43380.236451596968</v>
      </c>
      <c r="E34" s="217">
        <f>SUM(E29:E32)-E33</f>
        <v>93402.131289238707</v>
      </c>
    </row>
    <row r="35" spans="2:5" ht="14.5" thickTop="1">
      <c r="C35" s="129"/>
      <c r="D35" s="130"/>
      <c r="E35" s="130"/>
    </row>
    <row r="36" spans="2:5" ht="14.5" thickBot="1">
      <c r="B36" s="221"/>
      <c r="C36" s="216" t="s">
        <v>217</v>
      </c>
      <c r="D36" s="217">
        <f>D25+D34</f>
        <v>77051.947642246203</v>
      </c>
      <c r="E36" s="217">
        <f>E25+E34</f>
        <v>119692.4515344924</v>
      </c>
    </row>
    <row r="37" spans="2:5" ht="14.5" thickTop="1"/>
  </sheetData>
  <mergeCells count="2">
    <mergeCell ref="B2:D2"/>
    <mergeCell ref="B1:D1"/>
  </mergeCells>
  <phoneticPr fontId="7" type="noConversion"/>
  <pageMargins left="0.38" right="0.25" top="0.75" bottom="0.75" header="0.3" footer="0.3"/>
  <pageSetup orientation="portrait" r:id="rId1"/>
  <headerFooter>
    <oddFooter>&amp;LPrepared by: Miraj Sangani&amp;CBalance Sheet&amp;R&amp;P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3A13-4940-4E55-83C2-6BE7525652B9}">
  <sheetPr>
    <tabColor rgb="FFFFC000"/>
    <pageSetUpPr fitToPage="1"/>
  </sheetPr>
  <dimension ref="A1:F51"/>
  <sheetViews>
    <sheetView topLeftCell="A27" zoomScale="85" zoomScaleNormal="85" zoomScalePageLayoutView="55" workbookViewId="0">
      <selection activeCell="C39" sqref="C39"/>
    </sheetView>
  </sheetViews>
  <sheetFormatPr defaultRowHeight="14.5"/>
  <cols>
    <col min="1" max="1" width="29.7265625" bestFit="1" customWidth="1"/>
    <col min="2" max="2" width="42.54296875" bestFit="1" customWidth="1"/>
    <col min="3" max="3" width="10.1796875" bestFit="1" customWidth="1"/>
    <col min="4" max="4" width="69.81640625" bestFit="1" customWidth="1"/>
    <col min="5" max="5" width="12.54296875" customWidth="1"/>
    <col min="6" max="6" width="8.7265625" customWidth="1"/>
  </cols>
  <sheetData>
    <row r="1" spans="1:5">
      <c r="A1" s="343" t="s">
        <v>218</v>
      </c>
      <c r="B1" s="344"/>
      <c r="C1" s="344"/>
      <c r="D1" s="344"/>
      <c r="E1" s="345"/>
    </row>
    <row r="2" spans="1:5">
      <c r="A2" s="346" t="s">
        <v>129</v>
      </c>
      <c r="B2" s="347"/>
      <c r="C2" s="347"/>
      <c r="D2" s="347"/>
      <c r="E2" s="348"/>
    </row>
    <row r="4" spans="1:5">
      <c r="A4" s="21" t="s">
        <v>46</v>
      </c>
      <c r="B4" s="21" t="s">
        <v>219</v>
      </c>
      <c r="C4" s="21" t="s">
        <v>163</v>
      </c>
      <c r="D4" s="21" t="s">
        <v>126</v>
      </c>
    </row>
    <row r="5" spans="1:5" ht="16" customHeight="1">
      <c r="A5" s="137" t="s">
        <v>220</v>
      </c>
      <c r="B5" s="1" t="s">
        <v>221</v>
      </c>
      <c r="C5" s="113">
        <v>1500</v>
      </c>
      <c r="D5" s="1" t="s">
        <v>222</v>
      </c>
    </row>
    <row r="6" spans="1:5" ht="16" customHeight="1">
      <c r="A6" s="137" t="s">
        <v>223</v>
      </c>
      <c r="B6" s="1" t="s">
        <v>224</v>
      </c>
      <c r="C6" s="113">
        <v>10000</v>
      </c>
      <c r="D6" s="1" t="s">
        <v>225</v>
      </c>
    </row>
    <row r="7" spans="1:5" ht="16" customHeight="1">
      <c r="A7" s="137"/>
      <c r="B7" s="1" t="s">
        <v>226</v>
      </c>
      <c r="C7" s="113">
        <v>15000</v>
      </c>
      <c r="D7" s="1" t="s">
        <v>227</v>
      </c>
    </row>
    <row r="8" spans="1:5" ht="16" customHeight="1">
      <c r="A8" s="137"/>
      <c r="B8" s="1" t="s">
        <v>228</v>
      </c>
      <c r="C8" s="113">
        <v>5000</v>
      </c>
      <c r="D8" s="1" t="s">
        <v>229</v>
      </c>
    </row>
    <row r="9" spans="1:5" ht="16" customHeight="1">
      <c r="A9" s="137"/>
      <c r="B9" s="1" t="s">
        <v>230</v>
      </c>
      <c r="C9" s="113">
        <v>3000</v>
      </c>
      <c r="D9" s="1" t="s">
        <v>231</v>
      </c>
    </row>
    <row r="10" spans="1:5" ht="16" customHeight="1">
      <c r="A10" s="137" t="s">
        <v>232</v>
      </c>
      <c r="B10" s="1" t="s">
        <v>233</v>
      </c>
      <c r="C10" s="113">
        <v>1200</v>
      </c>
      <c r="D10" s="1" t="s">
        <v>234</v>
      </c>
    </row>
    <row r="11" spans="1:5" ht="16" customHeight="1">
      <c r="A11" s="137"/>
      <c r="B11" s="1" t="s">
        <v>235</v>
      </c>
      <c r="C11" s="113">
        <v>3000</v>
      </c>
      <c r="D11" s="1" t="s">
        <v>236</v>
      </c>
    </row>
    <row r="12" spans="1:5" ht="16" customHeight="1">
      <c r="A12" s="137"/>
      <c r="B12" s="1" t="s">
        <v>237</v>
      </c>
      <c r="C12" s="113">
        <v>5000</v>
      </c>
      <c r="D12" s="1" t="s">
        <v>238</v>
      </c>
    </row>
    <row r="13" spans="1:5" ht="16" customHeight="1">
      <c r="A13" s="137" t="s">
        <v>239</v>
      </c>
      <c r="B13" s="1" t="s">
        <v>240</v>
      </c>
      <c r="C13" s="178">
        <f>Marketing!B27</f>
        <v>750</v>
      </c>
      <c r="D13" s="1" t="s">
        <v>241</v>
      </c>
    </row>
    <row r="14" spans="1:5" ht="16" customHeight="1">
      <c r="A14" s="137"/>
      <c r="B14" s="1" t="s">
        <v>242</v>
      </c>
      <c r="C14" s="178">
        <f>Marketing!B28</f>
        <v>3500</v>
      </c>
      <c r="D14" s="1" t="s">
        <v>243</v>
      </c>
    </row>
    <row r="15" spans="1:5" ht="16" customHeight="1">
      <c r="A15" s="137"/>
      <c r="B15" s="172" t="s">
        <v>244</v>
      </c>
      <c r="C15" s="178">
        <f>Marketing!B29</f>
        <v>3000</v>
      </c>
      <c r="D15" s="1" t="s">
        <v>245</v>
      </c>
    </row>
    <row r="16" spans="1:5" ht="16" customHeight="1">
      <c r="A16" s="137"/>
      <c r="B16" s="1" t="s">
        <v>246</v>
      </c>
      <c r="C16" s="178">
        <f>Marketing!B30</f>
        <v>2500</v>
      </c>
      <c r="D16" s="1" t="s">
        <v>247</v>
      </c>
    </row>
    <row r="17" spans="1:5" ht="16" customHeight="1">
      <c r="A17" s="137" t="s">
        <v>248</v>
      </c>
      <c r="B17" s="1" t="s">
        <v>249</v>
      </c>
      <c r="C17" s="113">
        <v>1000</v>
      </c>
      <c r="D17" s="1" t="s">
        <v>250</v>
      </c>
    </row>
    <row r="18" spans="1:5" ht="16" customHeight="1">
      <c r="A18" s="137"/>
      <c r="B18" s="1" t="s">
        <v>251</v>
      </c>
      <c r="C18" s="113">
        <v>750</v>
      </c>
      <c r="D18" s="1" t="s">
        <v>252</v>
      </c>
    </row>
    <row r="19" spans="1:5" ht="16" customHeight="1">
      <c r="A19" s="137" t="s">
        <v>186</v>
      </c>
      <c r="B19" s="1" t="s">
        <v>253</v>
      </c>
      <c r="C19" s="113">
        <v>350</v>
      </c>
      <c r="D19" s="1" t="s">
        <v>254</v>
      </c>
    </row>
    <row r="20" spans="1:5" ht="16" customHeight="1">
      <c r="B20" s="5" t="s">
        <v>144</v>
      </c>
      <c r="C20" s="301">
        <v>450</v>
      </c>
      <c r="D20" s="5" t="s">
        <v>255</v>
      </c>
    </row>
    <row r="21" spans="1:5" ht="16" customHeight="1">
      <c r="A21" s="137" t="s">
        <v>146</v>
      </c>
      <c r="B21" s="1" t="s">
        <v>256</v>
      </c>
      <c r="C21" s="113">
        <v>2000</v>
      </c>
      <c r="D21" s="1" t="s">
        <v>257</v>
      </c>
    </row>
    <row r="22" spans="1:5" ht="16" customHeight="1">
      <c r="A22" s="325" t="s">
        <v>258</v>
      </c>
      <c r="B22" s="325"/>
      <c r="C22" s="138">
        <f>SUM(C5:C21)</f>
        <v>58000</v>
      </c>
      <c r="D22" s="1"/>
    </row>
    <row r="23" spans="1:5" ht="16" customHeight="1" thickBot="1">
      <c r="A23" s="46" t="s">
        <v>78</v>
      </c>
    </row>
    <row r="24" spans="1:5">
      <c r="A24" s="328" t="s">
        <v>259</v>
      </c>
      <c r="B24" s="329"/>
      <c r="C24" s="329"/>
      <c r="D24" s="329"/>
      <c r="E24" s="330"/>
    </row>
    <row r="25" spans="1:5">
      <c r="A25" s="331"/>
      <c r="B25" s="332"/>
      <c r="C25" s="332"/>
      <c r="D25" s="332"/>
      <c r="E25" s="333"/>
    </row>
    <row r="26" spans="1:5">
      <c r="A26" s="331"/>
      <c r="B26" s="332"/>
      <c r="C26" s="332"/>
      <c r="D26" s="332"/>
      <c r="E26" s="333"/>
    </row>
    <row r="27" spans="1:5" ht="10.5" customHeight="1">
      <c r="A27" s="331"/>
      <c r="B27" s="332"/>
      <c r="C27" s="332"/>
      <c r="D27" s="332"/>
      <c r="E27" s="333"/>
    </row>
    <row r="28" spans="1:5" ht="2.15" hidden="1" customHeight="1">
      <c r="A28" s="331"/>
      <c r="B28" s="332"/>
      <c r="C28" s="332"/>
      <c r="D28" s="332"/>
      <c r="E28" s="333"/>
    </row>
    <row r="29" spans="1:5" ht="14.5" hidden="1" customHeight="1">
      <c r="A29" s="331"/>
      <c r="B29" s="332"/>
      <c r="C29" s="332"/>
      <c r="D29" s="332"/>
      <c r="E29" s="333"/>
    </row>
    <row r="30" spans="1:5" ht="14.5" hidden="1" customHeight="1">
      <c r="A30" s="331"/>
      <c r="B30" s="332"/>
      <c r="C30" s="332"/>
      <c r="D30" s="332"/>
      <c r="E30" s="333"/>
    </row>
    <row r="31" spans="1:5" ht="16.5" customHeight="1">
      <c r="A31" s="331"/>
      <c r="B31" s="332"/>
      <c r="C31" s="332"/>
      <c r="D31" s="332"/>
      <c r="E31" s="333"/>
    </row>
    <row r="32" spans="1:5">
      <c r="A32" s="331"/>
      <c r="B32" s="332"/>
      <c r="C32" s="332"/>
      <c r="D32" s="332"/>
      <c r="E32" s="333"/>
    </row>
    <row r="33" spans="1:6" ht="15" thickBot="1">
      <c r="A33" s="334"/>
      <c r="B33" s="335"/>
      <c r="C33" s="335"/>
      <c r="D33" s="335"/>
      <c r="E33" s="336"/>
    </row>
    <row r="35" spans="1:6">
      <c r="A35" s="337" t="s">
        <v>260</v>
      </c>
      <c r="B35" s="338"/>
      <c r="C35" s="338"/>
      <c r="D35" s="338"/>
      <c r="E35" s="338"/>
      <c r="F35" s="339"/>
    </row>
    <row r="36" spans="1:6">
      <c r="A36" s="340" t="s">
        <v>261</v>
      </c>
      <c r="B36" s="341"/>
      <c r="C36" s="341"/>
      <c r="D36" s="341"/>
      <c r="E36" s="341"/>
      <c r="F36" s="342"/>
    </row>
    <row r="38" spans="1:6">
      <c r="A38" s="137" t="s">
        <v>112</v>
      </c>
      <c r="B38" s="1"/>
    </row>
    <row r="39" spans="1:6">
      <c r="A39" s="1" t="s">
        <v>262</v>
      </c>
      <c r="B39" s="286">
        <v>50000</v>
      </c>
    </row>
    <row r="40" spans="1:6">
      <c r="A40" s="137" t="s">
        <v>263</v>
      </c>
      <c r="B40" s="1"/>
    </row>
    <row r="41" spans="1:6" ht="15" thickBot="1">
      <c r="A41" s="284" t="s">
        <v>495</v>
      </c>
      <c r="B41" s="285">
        <f>SUM(CFF!C40:E40)</f>
        <v>105501.70638322797</v>
      </c>
    </row>
    <row r="42" spans="1:6">
      <c r="A42" s="225" t="s">
        <v>264</v>
      </c>
      <c r="B42" s="191">
        <f>B41-B39</f>
        <v>55501.706383227967</v>
      </c>
    </row>
    <row r="44" spans="1:6">
      <c r="A44" s="137" t="s">
        <v>220</v>
      </c>
      <c r="B44" s="113">
        <v>1500</v>
      </c>
      <c r="C44" s="1" t="s">
        <v>222</v>
      </c>
    </row>
    <row r="45" spans="1:6">
      <c r="A45" s="137" t="s">
        <v>223</v>
      </c>
      <c r="B45" s="251">
        <f>SUM(C6:C9)</f>
        <v>33000</v>
      </c>
    </row>
    <row r="46" spans="1:6">
      <c r="A46" s="137" t="s">
        <v>232</v>
      </c>
      <c r="B46" s="251">
        <f>SUM(C10:C12)</f>
        <v>9200</v>
      </c>
    </row>
    <row r="47" spans="1:6">
      <c r="A47" s="137" t="s">
        <v>239</v>
      </c>
      <c r="B47" s="251">
        <f>SUM(C13:C16)</f>
        <v>9750</v>
      </c>
    </row>
    <row r="48" spans="1:6">
      <c r="A48" s="137" t="s">
        <v>248</v>
      </c>
      <c r="B48" s="251">
        <f>SUM(C17:C18)</f>
        <v>1750</v>
      </c>
    </row>
    <row r="49" spans="1:2">
      <c r="A49" s="137" t="s">
        <v>186</v>
      </c>
      <c r="B49" s="251">
        <f>SUM(C19:C20)</f>
        <v>800</v>
      </c>
    </row>
    <row r="50" spans="1:2">
      <c r="A50" s="137" t="s">
        <v>146</v>
      </c>
      <c r="B50" s="251">
        <f>C21</f>
        <v>2000</v>
      </c>
    </row>
    <row r="51" spans="1:2">
      <c r="B51" s="251">
        <f>SUM(B44:B50)</f>
        <v>58000</v>
      </c>
    </row>
  </sheetData>
  <mergeCells count="6">
    <mergeCell ref="A24:E33"/>
    <mergeCell ref="A35:F35"/>
    <mergeCell ref="A36:F36"/>
    <mergeCell ref="A22:B22"/>
    <mergeCell ref="A1:E1"/>
    <mergeCell ref="A2:E2"/>
  </mergeCells>
  <pageMargins left="0.38" right="0.25" top="0.75" bottom="0.75" header="0.3" footer="0.3"/>
  <pageSetup scale="76" orientation="landscape" r:id="rId1"/>
  <headerFooter>
    <oddFooter>&amp;LPrepared by: Miraj Sangani&amp;CStartup Expenses&amp;R&amp;P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6A6F-1A62-4A36-9E78-CB4EFF592271}">
  <sheetPr>
    <tabColor rgb="FFFFFF00"/>
    <pageSetUpPr fitToPage="1"/>
  </sheetPr>
  <dimension ref="A1:P110"/>
  <sheetViews>
    <sheetView topLeftCell="A15" zoomScale="71" zoomScaleNormal="85" zoomScalePageLayoutView="55" workbookViewId="0">
      <selection activeCell="B40" sqref="B40"/>
    </sheetView>
  </sheetViews>
  <sheetFormatPr defaultRowHeight="14.5"/>
  <cols>
    <col min="1" max="1" width="26.81640625" customWidth="1"/>
    <col min="2" max="2" width="14.1796875" bestFit="1" customWidth="1"/>
    <col min="3" max="3" width="15.54296875" bestFit="1" customWidth="1"/>
    <col min="4" max="4" width="15.1796875" bestFit="1" customWidth="1"/>
    <col min="5" max="12" width="13.1796875" bestFit="1" customWidth="1"/>
    <col min="13" max="13" width="13.54296875" bestFit="1" customWidth="1"/>
    <col min="14" max="14" width="14.1796875" bestFit="1" customWidth="1"/>
    <col min="15" max="15" width="11.453125" bestFit="1" customWidth="1"/>
    <col min="16" max="16" width="14.81640625" bestFit="1" customWidth="1"/>
    <col min="17" max="17" width="9.1796875" bestFit="1" customWidth="1"/>
  </cols>
  <sheetData>
    <row r="1" spans="1:7">
      <c r="A1" s="349" t="s">
        <v>265</v>
      </c>
      <c r="B1" s="350"/>
      <c r="C1" s="350"/>
      <c r="D1" s="351"/>
    </row>
    <row r="3" spans="1:7" ht="13.75" customHeight="1">
      <c r="A3" s="341" t="s">
        <v>266</v>
      </c>
      <c r="B3" s="341"/>
    </row>
    <row r="4" spans="1:7">
      <c r="A4" s="74">
        <v>2025</v>
      </c>
      <c r="B4" s="96">
        <v>168100</v>
      </c>
    </row>
    <row r="5" spans="1:7">
      <c r="A5" s="74" t="s">
        <v>267</v>
      </c>
      <c r="B5" s="97">
        <v>0.85</v>
      </c>
      <c r="C5" s="104"/>
    </row>
    <row r="6" spans="1:7">
      <c r="A6" s="74">
        <v>2026</v>
      </c>
      <c r="B6" s="75">
        <f>B4*(1+B5)</f>
        <v>310985</v>
      </c>
      <c r="C6" s="69"/>
    </row>
    <row r="7" spans="1:7" ht="16.5">
      <c r="A7" s="105"/>
      <c r="B7" s="106"/>
      <c r="C7" s="69"/>
    </row>
    <row r="8" spans="1:7">
      <c r="A8" s="341" t="s">
        <v>268</v>
      </c>
      <c r="B8" s="341"/>
    </row>
    <row r="9" spans="1:7">
      <c r="A9" s="354" t="s">
        <v>269</v>
      </c>
      <c r="B9" s="352" t="s">
        <v>270</v>
      </c>
      <c r="C9" s="353"/>
      <c r="D9" s="76" t="s">
        <v>271</v>
      </c>
    </row>
    <row r="10" spans="1:7">
      <c r="A10" s="355"/>
      <c r="B10" s="79" t="s">
        <v>272</v>
      </c>
      <c r="C10" s="80" t="s">
        <v>273</v>
      </c>
      <c r="D10" s="80" t="s">
        <v>273</v>
      </c>
    </row>
    <row r="11" spans="1:7">
      <c r="A11" s="77" t="s">
        <v>167</v>
      </c>
      <c r="B11" s="98">
        <v>0.6</v>
      </c>
      <c r="C11" s="78">
        <f>$B$4*(B11)</f>
        <v>100860</v>
      </c>
      <c r="D11" s="78">
        <f>$B$6*(B11)</f>
        <v>186591</v>
      </c>
    </row>
    <row r="12" spans="1:7">
      <c r="A12" s="77" t="s">
        <v>274</v>
      </c>
      <c r="B12" s="98">
        <v>0.4</v>
      </c>
      <c r="C12" s="78">
        <f>$B$4*(B12)</f>
        <v>67240</v>
      </c>
      <c r="D12" s="78">
        <f>$B$6*(B12)</f>
        <v>124394</v>
      </c>
    </row>
    <row r="14" spans="1:7" ht="29.15" customHeight="1">
      <c r="A14" s="369" t="s">
        <v>269</v>
      </c>
      <c r="B14" s="367" t="s">
        <v>275</v>
      </c>
      <c r="C14" s="368"/>
      <c r="D14" s="371" t="s">
        <v>49</v>
      </c>
    </row>
    <row r="15" spans="1:7">
      <c r="A15" s="370"/>
      <c r="B15" s="1" t="s">
        <v>276</v>
      </c>
      <c r="C15" s="1" t="s">
        <v>277</v>
      </c>
      <c r="D15" s="372"/>
    </row>
    <row r="16" spans="1:7" ht="14.5" customHeight="1">
      <c r="A16" s="1" t="s">
        <v>167</v>
      </c>
      <c r="B16" s="99">
        <v>0.3</v>
      </c>
      <c r="C16" s="99">
        <v>0.7</v>
      </c>
      <c r="D16" s="73">
        <f>SUM(B16:C16)</f>
        <v>1</v>
      </c>
      <c r="E16" s="107" t="s">
        <v>278</v>
      </c>
      <c r="F16" s="33"/>
      <c r="G16" s="33"/>
    </row>
    <row r="17" spans="1:14" ht="14.5" customHeight="1">
      <c r="A17" s="1" t="s">
        <v>274</v>
      </c>
      <c r="B17" s="99">
        <v>0.6</v>
      </c>
      <c r="C17" s="99">
        <v>0.4</v>
      </c>
      <c r="D17" s="73">
        <f>SUM(B17:C17)</f>
        <v>1</v>
      </c>
    </row>
    <row r="20" spans="1:14">
      <c r="A20" s="366" t="s">
        <v>279</v>
      </c>
      <c r="B20" s="366"/>
      <c r="C20" s="366"/>
      <c r="D20" s="366"/>
      <c r="E20" s="366"/>
      <c r="F20" s="366"/>
      <c r="G20" s="366"/>
      <c r="H20" s="366"/>
      <c r="I20" s="366"/>
      <c r="J20" s="366"/>
      <c r="K20" s="366"/>
      <c r="L20" s="366"/>
      <c r="M20" s="366"/>
      <c r="N20" s="366"/>
    </row>
    <row r="21" spans="1:14">
      <c r="A21" s="83" t="s">
        <v>280</v>
      </c>
      <c r="B21" s="83" t="s">
        <v>281</v>
      </c>
      <c r="C21" s="83" t="s">
        <v>282</v>
      </c>
      <c r="D21" s="83" t="s">
        <v>283</v>
      </c>
      <c r="E21" s="83" t="s">
        <v>284</v>
      </c>
      <c r="F21" s="83" t="s">
        <v>285</v>
      </c>
      <c r="G21" s="83" t="s">
        <v>286</v>
      </c>
      <c r="H21" s="83" t="s">
        <v>287</v>
      </c>
      <c r="I21" s="83" t="s">
        <v>288</v>
      </c>
      <c r="J21" s="83" t="s">
        <v>289</v>
      </c>
      <c r="K21" s="83" t="s">
        <v>290</v>
      </c>
      <c r="L21" s="83" t="s">
        <v>291</v>
      </c>
      <c r="M21" s="83" t="s">
        <v>292</v>
      </c>
      <c r="N21" s="83" t="s">
        <v>49</v>
      </c>
    </row>
    <row r="22" spans="1:14">
      <c r="A22" s="108" t="s">
        <v>293</v>
      </c>
      <c r="B22" s="109">
        <v>0.05</v>
      </c>
      <c r="C22" s="109">
        <v>0.05</v>
      </c>
      <c r="D22" s="109">
        <v>0.08</v>
      </c>
      <c r="E22" s="109">
        <v>0.11</v>
      </c>
      <c r="F22" s="109">
        <v>0.14000000000000001</v>
      </c>
      <c r="G22" s="109">
        <v>0.1</v>
      </c>
      <c r="H22" s="109">
        <v>7.0000000000000007E-2</v>
      </c>
      <c r="I22" s="109">
        <v>0.08</v>
      </c>
      <c r="J22" s="109">
        <v>0.12</v>
      </c>
      <c r="K22" s="109">
        <v>0.13</v>
      </c>
      <c r="L22" s="109">
        <v>0.06</v>
      </c>
      <c r="M22" s="109">
        <v>0.01</v>
      </c>
      <c r="N22" s="90">
        <f>SUM(B22:M22)</f>
        <v>1</v>
      </c>
    </row>
    <row r="23" spans="1:14">
      <c r="A23" s="108" t="s">
        <v>294</v>
      </c>
      <c r="B23" s="109">
        <v>0.05</v>
      </c>
      <c r="C23" s="109">
        <v>0.05</v>
      </c>
      <c r="D23" s="109">
        <v>0.08</v>
      </c>
      <c r="E23" s="109">
        <v>0.11</v>
      </c>
      <c r="F23" s="109">
        <v>0.14000000000000001</v>
      </c>
      <c r="G23" s="109">
        <v>0.1</v>
      </c>
      <c r="H23" s="109">
        <v>7.0000000000000007E-2</v>
      </c>
      <c r="I23" s="109">
        <v>0.08</v>
      </c>
      <c r="J23" s="109">
        <v>0.12</v>
      </c>
      <c r="K23" s="109">
        <v>0.13</v>
      </c>
      <c r="L23" s="109">
        <v>0.06</v>
      </c>
      <c r="M23" s="109">
        <v>0.01</v>
      </c>
      <c r="N23" s="90">
        <f>SUM(B23:M23)</f>
        <v>1</v>
      </c>
    </row>
    <row r="26" spans="1:14" ht="16">
      <c r="A26" s="365" t="s">
        <v>295</v>
      </c>
      <c r="B26" s="365"/>
      <c r="C26" s="365"/>
      <c r="D26" s="365"/>
      <c r="E26" s="365"/>
      <c r="F26" s="365"/>
      <c r="G26" s="365"/>
      <c r="H26" s="365"/>
      <c r="I26" s="365"/>
      <c r="J26" s="365"/>
      <c r="K26" s="365"/>
      <c r="L26" s="365"/>
      <c r="M26" s="365"/>
      <c r="N26" s="365"/>
    </row>
    <row r="27" spans="1:14">
      <c r="A27" s="83" t="s">
        <v>280</v>
      </c>
      <c r="B27" s="93">
        <v>46047</v>
      </c>
      <c r="C27" s="93">
        <v>46078</v>
      </c>
      <c r="D27" s="93">
        <v>46106</v>
      </c>
      <c r="E27" s="93">
        <v>46137</v>
      </c>
      <c r="F27" s="93">
        <v>46167</v>
      </c>
      <c r="G27" s="93">
        <v>46198</v>
      </c>
      <c r="H27" s="93">
        <v>46228</v>
      </c>
      <c r="I27" s="93">
        <v>46259</v>
      </c>
      <c r="J27" s="93">
        <v>46290</v>
      </c>
      <c r="K27" s="93">
        <v>46320</v>
      </c>
      <c r="L27" s="93">
        <v>46351</v>
      </c>
      <c r="M27" s="93">
        <v>46381</v>
      </c>
      <c r="N27" s="83" t="s">
        <v>49</v>
      </c>
    </row>
    <row r="28" spans="1:14" ht="16.5">
      <c r="A28" s="21" t="s">
        <v>296</v>
      </c>
      <c r="B28" s="110">
        <f>B22</f>
        <v>0.05</v>
      </c>
      <c r="C28" s="110">
        <f t="shared" ref="C28:M28" si="0">C22</f>
        <v>0.05</v>
      </c>
      <c r="D28" s="110">
        <f t="shared" si="0"/>
        <v>0.08</v>
      </c>
      <c r="E28" s="110">
        <f t="shared" si="0"/>
        <v>0.11</v>
      </c>
      <c r="F28" s="110">
        <f t="shared" si="0"/>
        <v>0.14000000000000001</v>
      </c>
      <c r="G28" s="110">
        <f t="shared" si="0"/>
        <v>0.1</v>
      </c>
      <c r="H28" s="110">
        <f t="shared" si="0"/>
        <v>7.0000000000000007E-2</v>
      </c>
      <c r="I28" s="110">
        <f t="shared" si="0"/>
        <v>0.08</v>
      </c>
      <c r="J28" s="110">
        <f t="shared" si="0"/>
        <v>0.12</v>
      </c>
      <c r="K28" s="110">
        <f t="shared" si="0"/>
        <v>0.13</v>
      </c>
      <c r="L28" s="110">
        <f t="shared" si="0"/>
        <v>0.06</v>
      </c>
      <c r="M28" s="110">
        <f t="shared" si="0"/>
        <v>0.01</v>
      </c>
      <c r="N28" s="91">
        <f>SUM(B28:M28)</f>
        <v>1</v>
      </c>
    </row>
    <row r="29" spans="1:14">
      <c r="A29" s="83" t="s">
        <v>167</v>
      </c>
      <c r="B29" s="82">
        <f>$B$4*$B$11*B28</f>
        <v>5043</v>
      </c>
      <c r="C29" s="82">
        <f t="shared" ref="C29:M29" si="1">$B$4*$B$11*C28</f>
        <v>5043</v>
      </c>
      <c r="D29" s="82">
        <f t="shared" si="1"/>
        <v>8068.8</v>
      </c>
      <c r="E29" s="82">
        <f t="shared" si="1"/>
        <v>11094.6</v>
      </c>
      <c r="F29" s="82">
        <f t="shared" si="1"/>
        <v>14120.400000000001</v>
      </c>
      <c r="G29" s="82">
        <f t="shared" si="1"/>
        <v>10086</v>
      </c>
      <c r="H29" s="82">
        <f t="shared" si="1"/>
        <v>7060.2000000000007</v>
      </c>
      <c r="I29" s="82">
        <f t="shared" si="1"/>
        <v>8068.8</v>
      </c>
      <c r="J29" s="82">
        <f t="shared" si="1"/>
        <v>12103.199999999999</v>
      </c>
      <c r="K29" s="82">
        <f t="shared" si="1"/>
        <v>13111.800000000001</v>
      </c>
      <c r="L29" s="82">
        <f t="shared" si="1"/>
        <v>6051.5999999999995</v>
      </c>
      <c r="M29" s="82">
        <f t="shared" si="1"/>
        <v>1008.6</v>
      </c>
      <c r="N29" s="84">
        <f>SUM(B29:M29)</f>
        <v>100860.00000000001</v>
      </c>
    </row>
    <row r="30" spans="1:14">
      <c r="A30" s="81" t="s">
        <v>276</v>
      </c>
      <c r="B30" s="82">
        <f t="shared" ref="B30:M30" si="2">B29*$B$16</f>
        <v>1512.8999999999999</v>
      </c>
      <c r="C30" s="82">
        <f t="shared" si="2"/>
        <v>1512.8999999999999</v>
      </c>
      <c r="D30" s="82">
        <f t="shared" si="2"/>
        <v>2420.64</v>
      </c>
      <c r="E30" s="82">
        <f t="shared" si="2"/>
        <v>3328.38</v>
      </c>
      <c r="F30" s="82">
        <f t="shared" si="2"/>
        <v>4236.12</v>
      </c>
      <c r="G30" s="82">
        <f t="shared" si="2"/>
        <v>3025.7999999999997</v>
      </c>
      <c r="H30" s="82">
        <f t="shared" si="2"/>
        <v>2118.06</v>
      </c>
      <c r="I30" s="82">
        <f t="shared" si="2"/>
        <v>2420.64</v>
      </c>
      <c r="J30" s="82">
        <f t="shared" si="2"/>
        <v>3630.9599999999996</v>
      </c>
      <c r="K30" s="82">
        <f t="shared" si="2"/>
        <v>3933.54</v>
      </c>
      <c r="L30" s="82">
        <f t="shared" si="2"/>
        <v>1815.4799999999998</v>
      </c>
      <c r="M30" s="82">
        <f t="shared" si="2"/>
        <v>302.58</v>
      </c>
      <c r="N30" s="82">
        <f t="shared" ref="N30:N35" si="3">SUM(B30:M30)</f>
        <v>30258</v>
      </c>
    </row>
    <row r="31" spans="1:14">
      <c r="A31" s="81" t="s">
        <v>297</v>
      </c>
      <c r="B31" s="82">
        <f t="shared" ref="B31:M31" si="4">B29*$C$16</f>
        <v>3530.1</v>
      </c>
      <c r="C31" s="82">
        <f t="shared" si="4"/>
        <v>3530.1</v>
      </c>
      <c r="D31" s="82">
        <f t="shared" si="4"/>
        <v>5648.16</v>
      </c>
      <c r="E31" s="82">
        <f t="shared" si="4"/>
        <v>7766.2199999999993</v>
      </c>
      <c r="F31" s="82">
        <f t="shared" si="4"/>
        <v>9884.2800000000007</v>
      </c>
      <c r="G31" s="82">
        <f t="shared" si="4"/>
        <v>7060.2</v>
      </c>
      <c r="H31" s="82">
        <f t="shared" si="4"/>
        <v>4942.1400000000003</v>
      </c>
      <c r="I31" s="82">
        <f t="shared" si="4"/>
        <v>5648.16</v>
      </c>
      <c r="J31" s="82">
        <f t="shared" si="4"/>
        <v>8472.239999999998</v>
      </c>
      <c r="K31" s="82">
        <f t="shared" si="4"/>
        <v>9178.26</v>
      </c>
      <c r="L31" s="82">
        <f t="shared" si="4"/>
        <v>4236.119999999999</v>
      </c>
      <c r="M31" s="82">
        <f t="shared" si="4"/>
        <v>706.02</v>
      </c>
      <c r="N31" s="82">
        <f t="shared" si="3"/>
        <v>70602</v>
      </c>
    </row>
    <row r="32" spans="1:14">
      <c r="A32" s="83" t="s">
        <v>274</v>
      </c>
      <c r="B32" s="82">
        <f>$B$4*$B$12*B28</f>
        <v>3362</v>
      </c>
      <c r="C32" s="82">
        <f t="shared" ref="C32:M32" si="5">$B$4*$B$12*C28</f>
        <v>3362</v>
      </c>
      <c r="D32" s="82">
        <f t="shared" si="5"/>
        <v>5379.2</v>
      </c>
      <c r="E32" s="82">
        <f t="shared" si="5"/>
        <v>7396.4</v>
      </c>
      <c r="F32" s="82">
        <f t="shared" si="5"/>
        <v>9413.6</v>
      </c>
      <c r="G32" s="82">
        <f t="shared" si="5"/>
        <v>6724</v>
      </c>
      <c r="H32" s="82">
        <f t="shared" si="5"/>
        <v>4706.8</v>
      </c>
      <c r="I32" s="82">
        <f t="shared" si="5"/>
        <v>5379.2</v>
      </c>
      <c r="J32" s="82">
        <f t="shared" si="5"/>
        <v>8068.7999999999993</v>
      </c>
      <c r="K32" s="82">
        <f t="shared" si="5"/>
        <v>8741.2000000000007</v>
      </c>
      <c r="L32" s="82">
        <f t="shared" si="5"/>
        <v>4034.3999999999996</v>
      </c>
      <c r="M32" s="82">
        <f t="shared" si="5"/>
        <v>672.4</v>
      </c>
      <c r="N32" s="84">
        <f t="shared" si="3"/>
        <v>67239.999999999985</v>
      </c>
    </row>
    <row r="33" spans="1:16">
      <c r="A33" s="81" t="s">
        <v>276</v>
      </c>
      <c r="B33" s="82">
        <f t="shared" ref="B33:M33" si="6">B32*$B$17</f>
        <v>2017.1999999999998</v>
      </c>
      <c r="C33" s="82">
        <f t="shared" si="6"/>
        <v>2017.1999999999998</v>
      </c>
      <c r="D33" s="82">
        <f t="shared" si="6"/>
        <v>3227.52</v>
      </c>
      <c r="E33" s="82">
        <f t="shared" si="6"/>
        <v>4437.8399999999992</v>
      </c>
      <c r="F33" s="82">
        <f t="shared" si="6"/>
        <v>5648.16</v>
      </c>
      <c r="G33" s="82">
        <f t="shared" si="6"/>
        <v>4034.3999999999996</v>
      </c>
      <c r="H33" s="82">
        <f t="shared" si="6"/>
        <v>2824.08</v>
      </c>
      <c r="I33" s="82">
        <f t="shared" si="6"/>
        <v>3227.52</v>
      </c>
      <c r="J33" s="82">
        <f t="shared" si="6"/>
        <v>4841.28</v>
      </c>
      <c r="K33" s="82">
        <f t="shared" si="6"/>
        <v>5244.72</v>
      </c>
      <c r="L33" s="82">
        <f t="shared" si="6"/>
        <v>2420.64</v>
      </c>
      <c r="M33" s="82">
        <f t="shared" si="6"/>
        <v>403.44</v>
      </c>
      <c r="N33" s="82">
        <f t="shared" si="3"/>
        <v>40344</v>
      </c>
    </row>
    <row r="34" spans="1:16" ht="15" thickBot="1">
      <c r="A34" s="87" t="s">
        <v>297</v>
      </c>
      <c r="B34" s="88">
        <f t="shared" ref="B34:M34" si="7">B32*$C$17</f>
        <v>1344.8000000000002</v>
      </c>
      <c r="C34" s="88">
        <f t="shared" si="7"/>
        <v>1344.8000000000002</v>
      </c>
      <c r="D34" s="88">
        <f t="shared" si="7"/>
        <v>2151.6799999999998</v>
      </c>
      <c r="E34" s="88">
        <f t="shared" si="7"/>
        <v>2958.56</v>
      </c>
      <c r="F34" s="88">
        <f t="shared" si="7"/>
        <v>3765.4400000000005</v>
      </c>
      <c r="G34" s="88">
        <f t="shared" si="7"/>
        <v>2689.6000000000004</v>
      </c>
      <c r="H34" s="88">
        <f t="shared" si="7"/>
        <v>1882.7200000000003</v>
      </c>
      <c r="I34" s="88">
        <f t="shared" si="7"/>
        <v>2151.6799999999998</v>
      </c>
      <c r="J34" s="88">
        <f t="shared" si="7"/>
        <v>3227.52</v>
      </c>
      <c r="K34" s="88">
        <f t="shared" si="7"/>
        <v>3496.4800000000005</v>
      </c>
      <c r="L34" s="88">
        <f t="shared" si="7"/>
        <v>1613.76</v>
      </c>
      <c r="M34" s="88">
        <f t="shared" si="7"/>
        <v>268.95999999999998</v>
      </c>
      <c r="N34" s="88">
        <f t="shared" si="3"/>
        <v>26896</v>
      </c>
    </row>
    <row r="35" spans="1:16" ht="15.5" thickTop="1" thickBot="1">
      <c r="A35" s="85" t="s">
        <v>298</v>
      </c>
      <c r="B35" s="92">
        <f>B29+B32</f>
        <v>8405</v>
      </c>
      <c r="C35" s="92">
        <f t="shared" ref="C35:M35" si="8">C29+C32</f>
        <v>8405</v>
      </c>
      <c r="D35" s="92">
        <f t="shared" si="8"/>
        <v>13448</v>
      </c>
      <c r="E35" s="92">
        <f t="shared" si="8"/>
        <v>18491</v>
      </c>
      <c r="F35" s="92">
        <f t="shared" si="8"/>
        <v>23534</v>
      </c>
      <c r="G35" s="92">
        <f t="shared" si="8"/>
        <v>16810</v>
      </c>
      <c r="H35" s="92">
        <f t="shared" si="8"/>
        <v>11767</v>
      </c>
      <c r="I35" s="92">
        <f t="shared" si="8"/>
        <v>13448</v>
      </c>
      <c r="J35" s="92">
        <f t="shared" si="8"/>
        <v>20172</v>
      </c>
      <c r="K35" s="92">
        <f t="shared" si="8"/>
        <v>21853</v>
      </c>
      <c r="L35" s="92">
        <f t="shared" si="8"/>
        <v>10086</v>
      </c>
      <c r="M35" s="92">
        <f t="shared" si="8"/>
        <v>1681</v>
      </c>
      <c r="N35" s="86">
        <f t="shared" si="3"/>
        <v>168100</v>
      </c>
      <c r="P35" s="112">
        <f>SUM(N29,N32)</f>
        <v>168100</v>
      </c>
    </row>
    <row r="36" spans="1:16" ht="15" thickTop="1"/>
    <row r="38" spans="1:16">
      <c r="A38" s="356" t="s">
        <v>299</v>
      </c>
      <c r="B38" s="356"/>
      <c r="C38" s="356"/>
      <c r="D38" s="356"/>
      <c r="E38" s="356"/>
      <c r="F38" s="356"/>
      <c r="G38" s="356"/>
      <c r="H38" s="356"/>
      <c r="I38" s="356"/>
      <c r="J38" s="356"/>
      <c r="K38" s="356"/>
      <c r="L38" s="356"/>
      <c r="M38" s="356"/>
      <c r="N38" s="356"/>
    </row>
    <row r="39" spans="1:16">
      <c r="A39" s="81" t="s">
        <v>280</v>
      </c>
      <c r="B39" s="93">
        <v>46412</v>
      </c>
      <c r="C39" s="93">
        <v>46443</v>
      </c>
      <c r="D39" s="93">
        <v>46471</v>
      </c>
      <c r="E39" s="93">
        <v>46502</v>
      </c>
      <c r="F39" s="93">
        <v>46532</v>
      </c>
      <c r="G39" s="93">
        <v>46563</v>
      </c>
      <c r="H39" s="93">
        <v>46593</v>
      </c>
      <c r="I39" s="93">
        <v>46624</v>
      </c>
      <c r="J39" s="93">
        <v>46655</v>
      </c>
      <c r="K39" s="93">
        <v>46685</v>
      </c>
      <c r="L39" s="93">
        <v>46716</v>
      </c>
      <c r="M39" s="93">
        <v>46746</v>
      </c>
      <c r="N39" s="83" t="s">
        <v>49</v>
      </c>
    </row>
    <row r="40" spans="1:16">
      <c r="A40" s="108" t="s">
        <v>296</v>
      </c>
      <c r="B40" s="111">
        <f>B23</f>
        <v>0.05</v>
      </c>
      <c r="C40" s="111">
        <f t="shared" ref="C40:M40" si="9">C23</f>
        <v>0.05</v>
      </c>
      <c r="D40" s="111">
        <f t="shared" si="9"/>
        <v>0.08</v>
      </c>
      <c r="E40" s="111">
        <f t="shared" si="9"/>
        <v>0.11</v>
      </c>
      <c r="F40" s="111">
        <f t="shared" si="9"/>
        <v>0.14000000000000001</v>
      </c>
      <c r="G40" s="111">
        <f t="shared" si="9"/>
        <v>0.1</v>
      </c>
      <c r="H40" s="111">
        <f t="shared" si="9"/>
        <v>7.0000000000000007E-2</v>
      </c>
      <c r="I40" s="111">
        <f t="shared" si="9"/>
        <v>0.08</v>
      </c>
      <c r="J40" s="111">
        <f t="shared" si="9"/>
        <v>0.12</v>
      </c>
      <c r="K40" s="111">
        <f t="shared" si="9"/>
        <v>0.13</v>
      </c>
      <c r="L40" s="111">
        <f t="shared" si="9"/>
        <v>0.06</v>
      </c>
      <c r="M40" s="111">
        <f t="shared" si="9"/>
        <v>0.01</v>
      </c>
      <c r="N40" s="94">
        <f>SUM(B40:M40)</f>
        <v>1</v>
      </c>
    </row>
    <row r="41" spans="1:16">
      <c r="A41" s="83" t="s">
        <v>167</v>
      </c>
      <c r="B41" s="82">
        <f>$B$6*$B$11*B40</f>
        <v>9329.5500000000011</v>
      </c>
      <c r="C41" s="82">
        <f t="shared" ref="C41:M41" si="10">$B$6*$B$11*C40</f>
        <v>9329.5500000000011</v>
      </c>
      <c r="D41" s="82">
        <f t="shared" si="10"/>
        <v>14927.28</v>
      </c>
      <c r="E41" s="82">
        <f t="shared" si="10"/>
        <v>20525.009999999998</v>
      </c>
      <c r="F41" s="82">
        <f t="shared" si="10"/>
        <v>26122.74</v>
      </c>
      <c r="G41" s="82">
        <f t="shared" si="10"/>
        <v>18659.100000000002</v>
      </c>
      <c r="H41" s="82">
        <f t="shared" si="10"/>
        <v>13061.37</v>
      </c>
      <c r="I41" s="82">
        <f t="shared" si="10"/>
        <v>14927.28</v>
      </c>
      <c r="J41" s="82">
        <f t="shared" si="10"/>
        <v>22390.92</v>
      </c>
      <c r="K41" s="82">
        <f t="shared" si="10"/>
        <v>24256.83</v>
      </c>
      <c r="L41" s="82">
        <f t="shared" si="10"/>
        <v>11195.46</v>
      </c>
      <c r="M41" s="82">
        <f t="shared" si="10"/>
        <v>1865.91</v>
      </c>
      <c r="N41" s="84">
        <f>SUM(B41:M41)</f>
        <v>186591</v>
      </c>
    </row>
    <row r="42" spans="1:16">
      <c r="A42" s="81" t="s">
        <v>276</v>
      </c>
      <c r="B42" s="82">
        <f t="shared" ref="B42:M42" si="11">B41*$B$16</f>
        <v>2798.8650000000002</v>
      </c>
      <c r="C42" s="82">
        <f t="shared" si="11"/>
        <v>2798.8650000000002</v>
      </c>
      <c r="D42" s="82">
        <f t="shared" si="11"/>
        <v>4478.1840000000002</v>
      </c>
      <c r="E42" s="82">
        <f t="shared" si="11"/>
        <v>6157.5029999999997</v>
      </c>
      <c r="F42" s="82">
        <f t="shared" si="11"/>
        <v>7836.8220000000001</v>
      </c>
      <c r="G42" s="82">
        <f t="shared" si="11"/>
        <v>5597.7300000000005</v>
      </c>
      <c r="H42" s="82">
        <f t="shared" si="11"/>
        <v>3918.4110000000001</v>
      </c>
      <c r="I42" s="82">
        <f t="shared" si="11"/>
        <v>4478.1840000000002</v>
      </c>
      <c r="J42" s="82">
        <f t="shared" si="11"/>
        <v>6717.2759999999989</v>
      </c>
      <c r="K42" s="82">
        <f t="shared" si="11"/>
        <v>7277.049</v>
      </c>
      <c r="L42" s="82">
        <f t="shared" si="11"/>
        <v>3358.6379999999995</v>
      </c>
      <c r="M42" s="82">
        <f t="shared" si="11"/>
        <v>559.77300000000002</v>
      </c>
      <c r="N42" s="82">
        <f t="shared" ref="N42:N47" si="12">SUM(B42:M42)</f>
        <v>55977.3</v>
      </c>
    </row>
    <row r="43" spans="1:16">
      <c r="A43" s="81" t="s">
        <v>297</v>
      </c>
      <c r="B43" s="82">
        <f t="shared" ref="B43:M43" si="13">B41*$C$16</f>
        <v>6530.6850000000004</v>
      </c>
      <c r="C43" s="82">
        <f t="shared" si="13"/>
        <v>6530.6850000000004</v>
      </c>
      <c r="D43" s="82">
        <f t="shared" si="13"/>
        <v>10449.096</v>
      </c>
      <c r="E43" s="82">
        <f t="shared" si="13"/>
        <v>14367.506999999998</v>
      </c>
      <c r="F43" s="82">
        <f t="shared" si="13"/>
        <v>18285.918000000001</v>
      </c>
      <c r="G43" s="82">
        <f t="shared" si="13"/>
        <v>13061.37</v>
      </c>
      <c r="H43" s="82">
        <f t="shared" si="13"/>
        <v>9142.9590000000007</v>
      </c>
      <c r="I43" s="82">
        <f t="shared" si="13"/>
        <v>10449.096</v>
      </c>
      <c r="J43" s="82">
        <f t="shared" si="13"/>
        <v>15673.643999999998</v>
      </c>
      <c r="K43" s="82">
        <f t="shared" si="13"/>
        <v>16979.780999999999</v>
      </c>
      <c r="L43" s="82">
        <f t="shared" si="13"/>
        <v>7836.8219999999992</v>
      </c>
      <c r="M43" s="82">
        <f t="shared" si="13"/>
        <v>1306.1369999999999</v>
      </c>
      <c r="N43" s="82">
        <f t="shared" si="12"/>
        <v>130613.70000000001</v>
      </c>
    </row>
    <row r="44" spans="1:16">
      <c r="A44" s="83" t="s">
        <v>274</v>
      </c>
      <c r="B44" s="82">
        <f>$B$6*$B$12*B40</f>
        <v>6219.7000000000007</v>
      </c>
      <c r="C44" s="82">
        <f t="shared" ref="C44:M44" si="14">$B$6*$B$12*C40</f>
        <v>6219.7000000000007</v>
      </c>
      <c r="D44" s="82">
        <f t="shared" si="14"/>
        <v>9951.52</v>
      </c>
      <c r="E44" s="82">
        <f t="shared" si="14"/>
        <v>13683.34</v>
      </c>
      <c r="F44" s="82">
        <f t="shared" si="14"/>
        <v>17415.16</v>
      </c>
      <c r="G44" s="82">
        <f t="shared" si="14"/>
        <v>12439.400000000001</v>
      </c>
      <c r="H44" s="82">
        <f t="shared" si="14"/>
        <v>8707.58</v>
      </c>
      <c r="I44" s="82">
        <f t="shared" si="14"/>
        <v>9951.52</v>
      </c>
      <c r="J44" s="82">
        <f t="shared" si="14"/>
        <v>14927.279999999999</v>
      </c>
      <c r="K44" s="82">
        <f t="shared" si="14"/>
        <v>16171.220000000001</v>
      </c>
      <c r="L44" s="82">
        <f t="shared" si="14"/>
        <v>7463.6399999999994</v>
      </c>
      <c r="M44" s="82">
        <f t="shared" si="14"/>
        <v>1243.94</v>
      </c>
      <c r="N44" s="84">
        <f t="shared" si="12"/>
        <v>124394.00000000001</v>
      </c>
    </row>
    <row r="45" spans="1:16">
      <c r="A45" s="81" t="s">
        <v>276</v>
      </c>
      <c r="B45" s="82">
        <f t="shared" ref="B45:M45" si="15">B44*$B$17</f>
        <v>3731.82</v>
      </c>
      <c r="C45" s="82">
        <f t="shared" si="15"/>
        <v>3731.82</v>
      </c>
      <c r="D45" s="82">
        <f t="shared" si="15"/>
        <v>5970.9120000000003</v>
      </c>
      <c r="E45" s="82">
        <f t="shared" si="15"/>
        <v>8210.003999999999</v>
      </c>
      <c r="F45" s="82">
        <f t="shared" si="15"/>
        <v>10449.096</v>
      </c>
      <c r="G45" s="82">
        <f t="shared" si="15"/>
        <v>7463.64</v>
      </c>
      <c r="H45" s="82">
        <f t="shared" si="15"/>
        <v>5224.5479999999998</v>
      </c>
      <c r="I45" s="82">
        <f t="shared" si="15"/>
        <v>5970.9120000000003</v>
      </c>
      <c r="J45" s="82">
        <f t="shared" si="15"/>
        <v>8956.3679999999986</v>
      </c>
      <c r="K45" s="82">
        <f t="shared" si="15"/>
        <v>9702.732</v>
      </c>
      <c r="L45" s="82">
        <f t="shared" si="15"/>
        <v>4478.1839999999993</v>
      </c>
      <c r="M45" s="82">
        <f t="shared" si="15"/>
        <v>746.36400000000003</v>
      </c>
      <c r="N45" s="82">
        <f t="shared" si="12"/>
        <v>74636.399999999994</v>
      </c>
    </row>
    <row r="46" spans="1:16" ht="15" thickBot="1">
      <c r="A46" s="87" t="s">
        <v>297</v>
      </c>
      <c r="B46" s="88">
        <f t="shared" ref="B46:M46" si="16">B44*$C$17</f>
        <v>2487.8800000000006</v>
      </c>
      <c r="C46" s="88">
        <f t="shared" si="16"/>
        <v>2487.8800000000006</v>
      </c>
      <c r="D46" s="88">
        <f t="shared" si="16"/>
        <v>3980.6080000000002</v>
      </c>
      <c r="E46" s="88">
        <f t="shared" si="16"/>
        <v>5473.3360000000002</v>
      </c>
      <c r="F46" s="88">
        <f t="shared" si="16"/>
        <v>6966.0640000000003</v>
      </c>
      <c r="G46" s="88">
        <f t="shared" si="16"/>
        <v>4975.7600000000011</v>
      </c>
      <c r="H46" s="88">
        <f t="shared" si="16"/>
        <v>3483.0320000000002</v>
      </c>
      <c r="I46" s="88">
        <f t="shared" si="16"/>
        <v>3980.6080000000002</v>
      </c>
      <c r="J46" s="88">
        <f t="shared" si="16"/>
        <v>5970.9120000000003</v>
      </c>
      <c r="K46" s="88">
        <f t="shared" si="16"/>
        <v>6468.4880000000012</v>
      </c>
      <c r="L46" s="88">
        <f t="shared" si="16"/>
        <v>2985.4560000000001</v>
      </c>
      <c r="M46" s="88">
        <f t="shared" si="16"/>
        <v>497.57600000000002</v>
      </c>
      <c r="N46" s="88">
        <f t="shared" si="12"/>
        <v>49757.599999999999</v>
      </c>
    </row>
    <row r="47" spans="1:16" ht="15.5" thickTop="1" thickBot="1">
      <c r="A47" s="85" t="s">
        <v>300</v>
      </c>
      <c r="B47" s="92">
        <f>B41+B44</f>
        <v>15549.250000000002</v>
      </c>
      <c r="C47" s="92">
        <f t="shared" ref="C47:M47" si="17">C41+C44</f>
        <v>15549.250000000002</v>
      </c>
      <c r="D47" s="92">
        <f t="shared" si="17"/>
        <v>24878.800000000003</v>
      </c>
      <c r="E47" s="92">
        <f t="shared" si="17"/>
        <v>34208.35</v>
      </c>
      <c r="F47" s="92">
        <f t="shared" si="17"/>
        <v>43537.9</v>
      </c>
      <c r="G47" s="92">
        <f t="shared" si="17"/>
        <v>31098.500000000004</v>
      </c>
      <c r="H47" s="92">
        <f t="shared" si="17"/>
        <v>21768.95</v>
      </c>
      <c r="I47" s="92">
        <f t="shared" si="17"/>
        <v>24878.800000000003</v>
      </c>
      <c r="J47" s="92">
        <f t="shared" si="17"/>
        <v>37318.199999999997</v>
      </c>
      <c r="K47" s="92">
        <f t="shared" si="17"/>
        <v>40428.050000000003</v>
      </c>
      <c r="L47" s="92">
        <f t="shared" si="17"/>
        <v>18659.099999999999</v>
      </c>
      <c r="M47" s="92">
        <f t="shared" si="17"/>
        <v>3109.8500000000004</v>
      </c>
      <c r="N47" s="86">
        <f t="shared" si="12"/>
        <v>310984.99999999994</v>
      </c>
      <c r="P47" s="112">
        <f>SUM(N41,N44)</f>
        <v>310985</v>
      </c>
    </row>
    <row r="48" spans="1:16" ht="15" thickTop="1"/>
    <row r="51" spans="1:3">
      <c r="A51" t="s">
        <v>78</v>
      </c>
    </row>
    <row r="52" spans="1:3">
      <c r="A52" s="357" t="s">
        <v>301</v>
      </c>
      <c r="B52" s="358"/>
      <c r="C52" s="359"/>
    </row>
    <row r="53" spans="1:3" ht="14.5" customHeight="1">
      <c r="A53" s="360" t="s">
        <v>302</v>
      </c>
      <c r="B53" s="332"/>
      <c r="C53" s="361"/>
    </row>
    <row r="54" spans="1:3">
      <c r="A54" s="362"/>
      <c r="B54" s="363"/>
      <c r="C54" s="364"/>
    </row>
    <row r="65" spans="1:1" ht="13.75" customHeight="1"/>
    <row r="66" spans="1:1" s="72" customFormat="1" ht="16.5"/>
    <row r="68" spans="1:1" ht="16.5" customHeight="1">
      <c r="A68" s="72"/>
    </row>
    <row r="69" spans="1:1" ht="16.5" customHeight="1">
      <c r="A69" s="72"/>
    </row>
    <row r="70" spans="1:1" ht="23.5" customHeight="1">
      <c r="A70" s="72"/>
    </row>
    <row r="71" spans="1:1" ht="16.5" customHeight="1">
      <c r="A71" s="72"/>
    </row>
    <row r="72" spans="1:1" ht="16.5" customHeight="1">
      <c r="A72" s="72"/>
    </row>
    <row r="73" spans="1:1" ht="16.5" customHeight="1">
      <c r="A73" s="72"/>
    </row>
    <row r="74" spans="1:1" ht="16.5" customHeight="1">
      <c r="A74" s="72"/>
    </row>
    <row r="75" spans="1:1" ht="23.5" customHeight="1">
      <c r="A75" s="72"/>
    </row>
    <row r="76" spans="1:1" ht="16.5" customHeight="1">
      <c r="A76" s="72"/>
    </row>
    <row r="77" spans="1:1" ht="16.5" customHeight="1">
      <c r="A77" s="72"/>
    </row>
    <row r="78" spans="1:1" ht="16.5" customHeight="1">
      <c r="A78" s="72"/>
    </row>
    <row r="79" spans="1:1" ht="16.5" customHeight="1">
      <c r="A79" s="72"/>
    </row>
    <row r="80" spans="1:1" ht="23.5" customHeight="1">
      <c r="A80" s="72"/>
    </row>
    <row r="81" spans="1:9" ht="16.5" customHeight="1">
      <c r="A81" s="72"/>
    </row>
    <row r="82" spans="1:9" ht="16.5" customHeight="1">
      <c r="A82" s="72"/>
    </row>
    <row r="83" spans="1:9" ht="16.5" customHeight="1">
      <c r="A83" s="72"/>
    </row>
    <row r="84" spans="1:9" ht="16.5" customHeight="1">
      <c r="A84" s="72"/>
    </row>
    <row r="85" spans="1:9" ht="16.5" customHeight="1">
      <c r="A85" s="72"/>
    </row>
    <row r="87" spans="1:9" ht="23.5" customHeight="1">
      <c r="A87" s="70"/>
    </row>
    <row r="88" spans="1:9">
      <c r="A88" s="71"/>
    </row>
    <row r="89" spans="1:9" ht="16.5" customHeight="1">
      <c r="A89" s="72"/>
    </row>
    <row r="90" spans="1:9" ht="16.5" customHeight="1">
      <c r="A90" s="72"/>
    </row>
    <row r="93" spans="1:9" s="72" customFormat="1" ht="16.5"/>
    <row r="94" spans="1:9" ht="16.5">
      <c r="A94" s="72"/>
      <c r="B94" s="72"/>
      <c r="C94" s="72"/>
      <c r="D94" s="72"/>
      <c r="E94" s="72"/>
      <c r="F94" s="72"/>
      <c r="G94" s="72"/>
      <c r="H94" s="72"/>
      <c r="I94" s="72"/>
    </row>
    <row r="95" spans="1:9" ht="16.5">
      <c r="A95" s="72"/>
      <c r="B95" s="72"/>
      <c r="C95" s="72"/>
      <c r="D95" s="72"/>
      <c r="E95" s="72"/>
      <c r="F95" s="72"/>
      <c r="G95" s="72"/>
      <c r="H95" s="72"/>
      <c r="I95" s="72"/>
    </row>
    <row r="96" spans="1:9" ht="16.5">
      <c r="A96" s="72"/>
      <c r="B96" s="72"/>
      <c r="C96" s="72"/>
      <c r="D96" s="72"/>
      <c r="E96" s="72"/>
      <c r="F96" s="72"/>
      <c r="G96" s="72"/>
      <c r="H96" s="72"/>
      <c r="I96" s="72"/>
    </row>
    <row r="97" spans="1:9" ht="16.5">
      <c r="A97" s="72"/>
      <c r="B97" s="72"/>
      <c r="C97" s="72"/>
      <c r="D97" s="72"/>
      <c r="E97" s="72"/>
      <c r="F97" s="72"/>
      <c r="G97" s="72"/>
      <c r="H97" s="72"/>
      <c r="I97" s="72"/>
    </row>
    <row r="98" spans="1:9" ht="16.5">
      <c r="A98" s="72"/>
      <c r="B98" s="72"/>
      <c r="C98" s="72"/>
      <c r="D98" s="72"/>
      <c r="E98" s="72"/>
      <c r="F98" s="72"/>
      <c r="G98" s="72"/>
      <c r="H98" s="72"/>
      <c r="I98" s="72"/>
    </row>
    <row r="99" spans="1:9" ht="16.5">
      <c r="A99" s="72"/>
      <c r="B99" s="72"/>
      <c r="C99" s="72"/>
      <c r="D99" s="72"/>
      <c r="E99" s="72"/>
      <c r="F99" s="72"/>
      <c r="G99" s="72"/>
      <c r="H99" s="72"/>
      <c r="I99" s="72"/>
    </row>
    <row r="100" spans="1:9" ht="16.5">
      <c r="A100" s="72"/>
      <c r="B100" s="72"/>
      <c r="C100" s="72"/>
      <c r="D100" s="72"/>
      <c r="E100" s="72"/>
      <c r="F100" s="72"/>
      <c r="G100" s="72"/>
      <c r="H100" s="72"/>
      <c r="I100" s="72"/>
    </row>
    <row r="101" spans="1:9" ht="16.5">
      <c r="A101" s="72"/>
      <c r="B101" s="72"/>
      <c r="C101" s="72"/>
      <c r="D101" s="72"/>
      <c r="E101" s="72"/>
      <c r="F101" s="72"/>
      <c r="G101" s="72"/>
      <c r="H101" s="72"/>
      <c r="I101" s="72"/>
    </row>
    <row r="102" spans="1:9" ht="16.5">
      <c r="A102" s="72"/>
      <c r="B102" s="72"/>
      <c r="C102" s="72"/>
      <c r="D102" s="72"/>
      <c r="E102" s="72"/>
      <c r="F102" s="72"/>
      <c r="G102" s="72"/>
      <c r="H102" s="72"/>
      <c r="I102" s="72"/>
    </row>
    <row r="103" spans="1:9" ht="16.5">
      <c r="A103" s="72"/>
      <c r="B103" s="72"/>
      <c r="C103" s="72"/>
      <c r="D103" s="72"/>
      <c r="E103" s="72"/>
      <c r="F103" s="72"/>
      <c r="G103" s="72"/>
      <c r="H103" s="72"/>
      <c r="I103" s="72"/>
    </row>
    <row r="104" spans="1:9" ht="16.5">
      <c r="A104" s="72"/>
      <c r="B104" s="72"/>
      <c r="C104" s="72"/>
      <c r="D104" s="72"/>
      <c r="E104" s="72"/>
      <c r="F104" s="72"/>
      <c r="G104" s="72"/>
      <c r="H104" s="72"/>
      <c r="I104" s="72"/>
    </row>
    <row r="105" spans="1:9" ht="16.5">
      <c r="A105" s="72"/>
      <c r="B105" s="72"/>
      <c r="C105" s="72"/>
      <c r="D105" s="72"/>
      <c r="E105" s="72"/>
      <c r="F105" s="72"/>
      <c r="G105" s="72"/>
      <c r="H105" s="72"/>
      <c r="I105" s="72"/>
    </row>
    <row r="106" spans="1:9" ht="16.5">
      <c r="A106" s="72"/>
      <c r="B106" s="72"/>
      <c r="C106" s="72"/>
      <c r="D106" s="72"/>
      <c r="E106" s="72"/>
      <c r="F106" s="72"/>
      <c r="G106" s="72"/>
      <c r="H106" s="72"/>
      <c r="I106" s="72"/>
    </row>
    <row r="107" spans="1:9" ht="16.5">
      <c r="A107" s="72"/>
      <c r="B107" s="72"/>
      <c r="C107" s="72"/>
      <c r="D107" s="72"/>
      <c r="E107" s="72"/>
      <c r="F107" s="72"/>
      <c r="G107" s="72"/>
      <c r="H107" s="72"/>
      <c r="I107" s="72"/>
    </row>
    <row r="108" spans="1:9" ht="16.5">
      <c r="A108" s="72"/>
      <c r="B108" s="72"/>
      <c r="C108" s="72"/>
      <c r="D108" s="72"/>
      <c r="E108" s="72"/>
      <c r="F108" s="72"/>
      <c r="G108" s="72"/>
      <c r="H108" s="72"/>
      <c r="I108" s="72"/>
    </row>
    <row r="109" spans="1:9" ht="16.5">
      <c r="A109" s="72"/>
      <c r="B109" s="72"/>
      <c r="C109" s="72"/>
      <c r="D109" s="72"/>
      <c r="E109" s="72"/>
      <c r="F109" s="72"/>
      <c r="G109" s="72"/>
      <c r="H109" s="72"/>
      <c r="I109" s="72"/>
    </row>
    <row r="110" spans="1:9" ht="16.5">
      <c r="A110" s="72"/>
      <c r="B110" s="72"/>
      <c r="C110" s="72"/>
      <c r="D110" s="72"/>
      <c r="E110" s="72"/>
      <c r="F110" s="72"/>
      <c r="G110" s="72"/>
      <c r="H110" s="72"/>
      <c r="I110" s="72"/>
    </row>
  </sheetData>
  <mergeCells count="13">
    <mergeCell ref="A53:C54"/>
    <mergeCell ref="A8:B8"/>
    <mergeCell ref="A3:B3"/>
    <mergeCell ref="A26:N26"/>
    <mergeCell ref="A20:N20"/>
    <mergeCell ref="B14:C14"/>
    <mergeCell ref="A14:A15"/>
    <mergeCell ref="D14:D15"/>
    <mergeCell ref="A1:D1"/>
    <mergeCell ref="B9:C9"/>
    <mergeCell ref="A9:A10"/>
    <mergeCell ref="A38:N38"/>
    <mergeCell ref="A52:C52"/>
  </mergeCells>
  <phoneticPr fontId="7" type="noConversion"/>
  <pageMargins left="0.38" right="0.25" top="0.75" bottom="0.75" header="0.3" footer="0.3"/>
  <pageSetup scale="58" orientation="landscape" r:id="rId1"/>
  <headerFooter>
    <oddFooter>&amp;LPrepared by: Miraj Sangani&amp;CSales Projections   &amp;R&amp;P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738DC-267A-40F3-A043-0058CBBB5291}">
  <sheetPr>
    <tabColor rgb="FFFF0000"/>
    <pageSetUpPr fitToPage="1"/>
  </sheetPr>
  <dimension ref="A1:N46"/>
  <sheetViews>
    <sheetView workbookViewId="0">
      <selection activeCell="I26" sqref="I26"/>
    </sheetView>
  </sheetViews>
  <sheetFormatPr defaultRowHeight="14.5"/>
  <cols>
    <col min="1" max="1" width="34.81640625" bestFit="1" customWidth="1"/>
    <col min="2" max="2" width="14.453125" bestFit="1" customWidth="1"/>
    <col min="3" max="13" width="8.81640625" bestFit="1" customWidth="1"/>
    <col min="14" max="14" width="10.1796875" customWidth="1"/>
  </cols>
  <sheetData>
    <row r="1" spans="1:14" ht="16">
      <c r="A1" s="377" t="s">
        <v>303</v>
      </c>
      <c r="B1" s="377"/>
      <c r="C1" s="377"/>
      <c r="D1" s="377"/>
      <c r="E1" s="377"/>
      <c r="F1" s="377"/>
      <c r="G1" s="377"/>
    </row>
    <row r="4" spans="1:14">
      <c r="A4" s="21" t="s">
        <v>304</v>
      </c>
      <c r="B4" s="233">
        <f>Sales!N35*0.08</f>
        <v>13448</v>
      </c>
    </row>
    <row r="5" spans="1:14">
      <c r="A5" s="21" t="s">
        <v>305</v>
      </c>
      <c r="B5" s="283">
        <f>B4*(1+Sales!B5)</f>
        <v>24878.800000000003</v>
      </c>
    </row>
    <row r="6" spans="1:14">
      <c r="A6" s="378" t="s">
        <v>306</v>
      </c>
      <c r="B6" s="378"/>
      <c r="C6" s="378"/>
      <c r="D6" s="378"/>
      <c r="E6" s="378"/>
      <c r="F6" s="378"/>
      <c r="G6" s="378"/>
      <c r="H6" s="378"/>
      <c r="I6" s="378"/>
      <c r="J6" s="378"/>
      <c r="K6" s="378"/>
      <c r="L6" s="378"/>
      <c r="M6" s="378"/>
      <c r="N6" s="378"/>
    </row>
    <row r="7" spans="1:14">
      <c r="A7" s="137"/>
      <c r="B7" s="300">
        <v>46048</v>
      </c>
      <c r="C7" s="300">
        <v>46079</v>
      </c>
      <c r="D7" s="300">
        <v>46107</v>
      </c>
      <c r="E7" s="300">
        <v>46138</v>
      </c>
      <c r="F7" s="300">
        <v>46168</v>
      </c>
      <c r="G7" s="300">
        <v>46199</v>
      </c>
      <c r="H7" s="300">
        <v>46229</v>
      </c>
      <c r="I7" s="300">
        <v>46260</v>
      </c>
      <c r="J7" s="300">
        <v>46291</v>
      </c>
      <c r="K7" s="300">
        <v>46321</v>
      </c>
      <c r="L7" s="300">
        <v>46352</v>
      </c>
      <c r="M7" s="300">
        <v>46382</v>
      </c>
      <c r="N7" s="24" t="s">
        <v>82</v>
      </c>
    </row>
    <row r="8" spans="1:14">
      <c r="A8" s="172" t="s">
        <v>293</v>
      </c>
      <c r="B8" s="222">
        <f>Sales!B35/Sales!$N$35</f>
        <v>0.05</v>
      </c>
      <c r="C8" s="222">
        <f>Sales!C35/Sales!$N$35</f>
        <v>0.05</v>
      </c>
      <c r="D8" s="222">
        <f>Sales!D35/Sales!$N$35</f>
        <v>0.08</v>
      </c>
      <c r="E8" s="222">
        <f>Sales!E35/Sales!$N$35</f>
        <v>0.11</v>
      </c>
      <c r="F8" s="222">
        <f>Sales!F35/Sales!$N$35</f>
        <v>0.14000000000000001</v>
      </c>
      <c r="G8" s="222">
        <f>Sales!G35/Sales!$N$35</f>
        <v>0.1</v>
      </c>
      <c r="H8" s="222">
        <f>Sales!H35/Sales!$N$35</f>
        <v>7.0000000000000007E-2</v>
      </c>
      <c r="I8" s="222">
        <f>Sales!I35/Sales!$N$35</f>
        <v>0.08</v>
      </c>
      <c r="J8" s="222">
        <f>Sales!J35/Sales!$N$35</f>
        <v>0.12</v>
      </c>
      <c r="K8" s="222">
        <f>Sales!K35/Sales!$N$35</f>
        <v>0.13</v>
      </c>
      <c r="L8" s="222">
        <f>Sales!L35/Sales!$N$35</f>
        <v>0.06</v>
      </c>
      <c r="M8" s="222">
        <f>Sales!M35/Sales!$N$35</f>
        <v>0.01</v>
      </c>
      <c r="N8" s="223">
        <f>Sales!N35/Sales!$N$35</f>
        <v>1</v>
      </c>
    </row>
    <row r="9" spans="1:14">
      <c r="A9" s="172" t="s">
        <v>307</v>
      </c>
      <c r="B9" s="224">
        <f>($B$4*$B$8)/4</f>
        <v>168.10000000000002</v>
      </c>
      <c r="C9" s="224">
        <f>($B$4*$C$8)/4</f>
        <v>168.10000000000002</v>
      </c>
      <c r="D9" s="224">
        <f>($B$4*$D$8)/4</f>
        <v>268.95999999999998</v>
      </c>
      <c r="E9" s="224">
        <f>($B$4*$E$8)/4</f>
        <v>369.82</v>
      </c>
      <c r="F9" s="224">
        <f>($B$4*$F$8)/4</f>
        <v>470.68000000000006</v>
      </c>
      <c r="G9" s="224">
        <f>($B$4*$G$8)/4</f>
        <v>336.20000000000005</v>
      </c>
      <c r="H9" s="224">
        <f>($B$4*$H$8)/4</f>
        <v>235.34000000000003</v>
      </c>
      <c r="I9" s="224">
        <f>($B$4*$I$8)/4</f>
        <v>268.95999999999998</v>
      </c>
      <c r="J9" s="224">
        <f>($B$4*$J$8)/4</f>
        <v>403.44</v>
      </c>
      <c r="K9" s="224">
        <f>($B$4*$K$8)/4</f>
        <v>437.06</v>
      </c>
      <c r="L9" s="224">
        <f>($B$4*$L$8)/4</f>
        <v>201.72</v>
      </c>
      <c r="M9" s="224">
        <f>($B$4*$M$8)/4</f>
        <v>33.619999999999997</v>
      </c>
      <c r="N9" s="171">
        <f t="shared" ref="N9:N12" si="0">SUM(B9:M9)</f>
        <v>3362</v>
      </c>
    </row>
    <row r="10" spans="1:14">
      <c r="A10" s="172" t="s">
        <v>308</v>
      </c>
      <c r="B10" s="224">
        <f>($B$4*$B$8)/4</f>
        <v>168.10000000000002</v>
      </c>
      <c r="C10" s="224">
        <f t="shared" ref="C10:C12" si="1">($B$4*$C$8)/4</f>
        <v>168.10000000000002</v>
      </c>
      <c r="D10" s="224">
        <f t="shared" ref="D10:D12" si="2">($B$4*$D$8)/4</f>
        <v>268.95999999999998</v>
      </c>
      <c r="E10" s="224">
        <f t="shared" ref="E10:E12" si="3">($B$4*$E$8)/4</f>
        <v>369.82</v>
      </c>
      <c r="F10" s="224">
        <f t="shared" ref="F10:F12" si="4">($B$4*$F$8)/4</f>
        <v>470.68000000000006</v>
      </c>
      <c r="G10" s="224">
        <f t="shared" ref="G10:G12" si="5">($B$4*$G$8)/4</f>
        <v>336.20000000000005</v>
      </c>
      <c r="H10" s="224">
        <f t="shared" ref="H10:H12" si="6">($B$4*$H$8)/4</f>
        <v>235.34000000000003</v>
      </c>
      <c r="I10" s="224">
        <f t="shared" ref="I10:I12" si="7">($B$4*$I$8)/4</f>
        <v>268.95999999999998</v>
      </c>
      <c r="J10" s="224">
        <f t="shared" ref="J10:J12" si="8">($B$4*$J$8)/4</f>
        <v>403.44</v>
      </c>
      <c r="K10" s="224">
        <f t="shared" ref="K10:K12" si="9">($B$4*$K$8)/4</f>
        <v>437.06</v>
      </c>
      <c r="L10" s="224">
        <f t="shared" ref="L10:L12" si="10">($B$4*$L$8)/4</f>
        <v>201.72</v>
      </c>
      <c r="M10" s="224">
        <f t="shared" ref="M10:M12" si="11">($B$4*$M$8)/4</f>
        <v>33.619999999999997</v>
      </c>
      <c r="N10" s="171">
        <f t="shared" si="0"/>
        <v>3362</v>
      </c>
    </row>
    <row r="11" spans="1:14">
      <c r="A11" s="172" t="s">
        <v>309</v>
      </c>
      <c r="B11" s="224">
        <f>(B4*$B$8)/4</f>
        <v>168.10000000000002</v>
      </c>
      <c r="C11" s="224">
        <f t="shared" si="1"/>
        <v>168.10000000000002</v>
      </c>
      <c r="D11" s="224">
        <f t="shared" si="2"/>
        <v>268.95999999999998</v>
      </c>
      <c r="E11" s="224">
        <f t="shared" si="3"/>
        <v>369.82</v>
      </c>
      <c r="F11" s="224">
        <f t="shared" si="4"/>
        <v>470.68000000000006</v>
      </c>
      <c r="G11" s="224">
        <f t="shared" si="5"/>
        <v>336.20000000000005</v>
      </c>
      <c r="H11" s="224">
        <f t="shared" si="6"/>
        <v>235.34000000000003</v>
      </c>
      <c r="I11" s="224">
        <f t="shared" si="7"/>
        <v>268.95999999999998</v>
      </c>
      <c r="J11" s="224">
        <f t="shared" si="8"/>
        <v>403.44</v>
      </c>
      <c r="K11" s="224">
        <f t="shared" si="9"/>
        <v>437.06</v>
      </c>
      <c r="L11" s="224">
        <f t="shared" si="10"/>
        <v>201.72</v>
      </c>
      <c r="M11" s="224">
        <f t="shared" si="11"/>
        <v>33.619999999999997</v>
      </c>
      <c r="N11" s="171">
        <f t="shared" si="0"/>
        <v>3362</v>
      </c>
    </row>
    <row r="12" spans="1:14" ht="15" thickBot="1">
      <c r="A12" s="228" t="s">
        <v>310</v>
      </c>
      <c r="B12" s="229">
        <f>(B4*$B$8)/4</f>
        <v>168.10000000000002</v>
      </c>
      <c r="C12" s="229">
        <f t="shared" si="1"/>
        <v>168.10000000000002</v>
      </c>
      <c r="D12" s="229">
        <f t="shared" si="2"/>
        <v>268.95999999999998</v>
      </c>
      <c r="E12" s="229">
        <f t="shared" si="3"/>
        <v>369.82</v>
      </c>
      <c r="F12" s="229">
        <f t="shared" si="4"/>
        <v>470.68000000000006</v>
      </c>
      <c r="G12" s="229">
        <f t="shared" si="5"/>
        <v>336.20000000000005</v>
      </c>
      <c r="H12" s="229">
        <f t="shared" si="6"/>
        <v>235.34000000000003</v>
      </c>
      <c r="I12" s="229">
        <f t="shared" si="7"/>
        <v>268.95999999999998</v>
      </c>
      <c r="J12" s="229">
        <f t="shared" si="8"/>
        <v>403.44</v>
      </c>
      <c r="K12" s="229">
        <f t="shared" si="9"/>
        <v>437.06</v>
      </c>
      <c r="L12" s="229">
        <f t="shared" si="10"/>
        <v>201.72</v>
      </c>
      <c r="M12" s="229">
        <f t="shared" si="11"/>
        <v>33.619999999999997</v>
      </c>
      <c r="N12" s="230">
        <f t="shared" si="0"/>
        <v>3362</v>
      </c>
    </row>
    <row r="13" spans="1:14" ht="15" thickTop="1">
      <c r="A13" s="225" t="s">
        <v>311</v>
      </c>
      <c r="B13" s="226">
        <f>SUM(B9:B12)</f>
        <v>672.40000000000009</v>
      </c>
      <c r="C13" s="226">
        <f t="shared" ref="C13:M13" si="12">SUM(C9:C12)</f>
        <v>672.40000000000009</v>
      </c>
      <c r="D13" s="226">
        <f t="shared" si="12"/>
        <v>1075.8399999999999</v>
      </c>
      <c r="E13" s="226">
        <f t="shared" si="12"/>
        <v>1479.28</v>
      </c>
      <c r="F13" s="226">
        <f t="shared" si="12"/>
        <v>1882.7200000000003</v>
      </c>
      <c r="G13" s="226">
        <f t="shared" si="12"/>
        <v>1344.8000000000002</v>
      </c>
      <c r="H13" s="226">
        <f t="shared" si="12"/>
        <v>941.36000000000013</v>
      </c>
      <c r="I13" s="226">
        <f t="shared" si="12"/>
        <v>1075.8399999999999</v>
      </c>
      <c r="J13" s="226">
        <f t="shared" si="12"/>
        <v>1613.76</v>
      </c>
      <c r="K13" s="226">
        <f t="shared" si="12"/>
        <v>1748.24</v>
      </c>
      <c r="L13" s="226">
        <f t="shared" si="12"/>
        <v>806.88</v>
      </c>
      <c r="M13" s="226">
        <f t="shared" si="12"/>
        <v>134.47999999999999</v>
      </c>
      <c r="N13" s="227">
        <f>SUM(B13:M13)</f>
        <v>13448</v>
      </c>
    </row>
    <row r="15" spans="1:14">
      <c r="A15" s="378" t="s">
        <v>306</v>
      </c>
      <c r="B15" s="378"/>
      <c r="C15" s="378"/>
      <c r="D15" s="378"/>
      <c r="E15" s="378"/>
      <c r="F15" s="378"/>
      <c r="G15" s="378"/>
      <c r="H15" s="378"/>
      <c r="I15" s="378"/>
      <c r="J15" s="378"/>
      <c r="K15" s="378"/>
      <c r="L15" s="378"/>
      <c r="M15" s="378"/>
      <c r="N15" s="378"/>
    </row>
    <row r="16" spans="1:14">
      <c r="A16" s="137"/>
      <c r="B16" s="300">
        <v>46413</v>
      </c>
      <c r="C16" s="300">
        <v>46444</v>
      </c>
      <c r="D16" s="300">
        <v>46472</v>
      </c>
      <c r="E16" s="300">
        <v>46503</v>
      </c>
      <c r="F16" s="300">
        <v>46533</v>
      </c>
      <c r="G16" s="300">
        <v>46564</v>
      </c>
      <c r="H16" s="300">
        <v>46594</v>
      </c>
      <c r="I16" s="300">
        <v>46625</v>
      </c>
      <c r="J16" s="300">
        <v>46656</v>
      </c>
      <c r="K16" s="300">
        <v>46686</v>
      </c>
      <c r="L16" s="300">
        <v>46717</v>
      </c>
      <c r="M16" s="300">
        <v>46747</v>
      </c>
      <c r="N16" s="24" t="s">
        <v>82</v>
      </c>
    </row>
    <row r="17" spans="1:14">
      <c r="A17" s="172" t="s">
        <v>294</v>
      </c>
      <c r="B17" s="222">
        <f>Sales!B47/Sales!$B$6</f>
        <v>0.05</v>
      </c>
      <c r="C17" s="222">
        <f>Sales!C47/Sales!$B$6</f>
        <v>0.05</v>
      </c>
      <c r="D17" s="222">
        <f>Sales!D47/Sales!$B$6</f>
        <v>8.0000000000000016E-2</v>
      </c>
      <c r="E17" s="222">
        <f>Sales!E47/Sales!$B$6</f>
        <v>0.11</v>
      </c>
      <c r="F17" s="222">
        <f>Sales!F47/Sales!$B$6</f>
        <v>0.14000000000000001</v>
      </c>
      <c r="G17" s="222">
        <f>Sales!G47/Sales!$B$6</f>
        <v>0.1</v>
      </c>
      <c r="H17" s="222">
        <f>Sales!H47/Sales!$B$6</f>
        <v>7.0000000000000007E-2</v>
      </c>
      <c r="I17" s="222">
        <f>Sales!I47/Sales!$B$6</f>
        <v>8.0000000000000016E-2</v>
      </c>
      <c r="J17" s="222">
        <f>Sales!J47/Sales!$B$6</f>
        <v>0.12</v>
      </c>
      <c r="K17" s="222">
        <f>Sales!K47/Sales!$B$6</f>
        <v>0.13</v>
      </c>
      <c r="L17" s="222">
        <f>Sales!L47/Sales!$B$6</f>
        <v>0.06</v>
      </c>
      <c r="M17" s="222">
        <f>Sales!M47/Sales!$B$6</f>
        <v>1.0000000000000002E-2</v>
      </c>
      <c r="N17" s="223">
        <f>SUM(B17:M17)</f>
        <v>1.0000000000000002</v>
      </c>
    </row>
    <row r="18" spans="1:14">
      <c r="A18" s="172" t="s">
        <v>307</v>
      </c>
      <c r="B18" s="224">
        <f>($B$5*B$17)/4</f>
        <v>310.98500000000007</v>
      </c>
      <c r="C18" s="224">
        <f t="shared" ref="C18:M21" si="13">($B$5*C$17)/4</f>
        <v>310.98500000000007</v>
      </c>
      <c r="D18" s="224">
        <f t="shared" si="13"/>
        <v>497.57600000000014</v>
      </c>
      <c r="E18" s="224">
        <f t="shared" si="13"/>
        <v>684.16700000000003</v>
      </c>
      <c r="F18" s="224">
        <f t="shared" si="13"/>
        <v>870.75800000000015</v>
      </c>
      <c r="G18" s="224">
        <f t="shared" si="13"/>
        <v>621.97000000000014</v>
      </c>
      <c r="H18" s="224">
        <f t="shared" si="13"/>
        <v>435.37900000000008</v>
      </c>
      <c r="I18" s="224">
        <f t="shared" si="13"/>
        <v>497.57600000000014</v>
      </c>
      <c r="J18" s="224">
        <f t="shared" si="13"/>
        <v>746.36400000000003</v>
      </c>
      <c r="K18" s="224">
        <f t="shared" si="13"/>
        <v>808.56100000000015</v>
      </c>
      <c r="L18" s="224">
        <f t="shared" si="13"/>
        <v>373.18200000000002</v>
      </c>
      <c r="M18" s="224">
        <f t="shared" si="13"/>
        <v>62.197000000000017</v>
      </c>
      <c r="N18" s="171">
        <f t="shared" ref="N18:N21" si="14">SUM(B18:M18)</f>
        <v>6219.7</v>
      </c>
    </row>
    <row r="19" spans="1:14">
      <c r="A19" s="172" t="s">
        <v>308</v>
      </c>
      <c r="B19" s="224">
        <f t="shared" ref="B19:B21" si="15">($B$5*B$17)/4</f>
        <v>310.98500000000007</v>
      </c>
      <c r="C19" s="224">
        <f t="shared" si="13"/>
        <v>310.98500000000007</v>
      </c>
      <c r="D19" s="224">
        <f t="shared" si="13"/>
        <v>497.57600000000014</v>
      </c>
      <c r="E19" s="224">
        <f t="shared" si="13"/>
        <v>684.16700000000003</v>
      </c>
      <c r="F19" s="224">
        <f t="shared" si="13"/>
        <v>870.75800000000015</v>
      </c>
      <c r="G19" s="224">
        <f t="shared" si="13"/>
        <v>621.97000000000014</v>
      </c>
      <c r="H19" s="224">
        <f t="shared" si="13"/>
        <v>435.37900000000008</v>
      </c>
      <c r="I19" s="224">
        <f t="shared" si="13"/>
        <v>497.57600000000014</v>
      </c>
      <c r="J19" s="224">
        <f t="shared" si="13"/>
        <v>746.36400000000003</v>
      </c>
      <c r="K19" s="224">
        <f t="shared" si="13"/>
        <v>808.56100000000015</v>
      </c>
      <c r="L19" s="224">
        <f t="shared" si="13"/>
        <v>373.18200000000002</v>
      </c>
      <c r="M19" s="224">
        <f t="shared" si="13"/>
        <v>62.197000000000017</v>
      </c>
      <c r="N19" s="171">
        <f t="shared" si="14"/>
        <v>6219.7</v>
      </c>
    </row>
    <row r="20" spans="1:14">
      <c r="A20" s="172" t="s">
        <v>309</v>
      </c>
      <c r="B20" s="224">
        <f t="shared" si="15"/>
        <v>310.98500000000007</v>
      </c>
      <c r="C20" s="224">
        <f t="shared" si="13"/>
        <v>310.98500000000007</v>
      </c>
      <c r="D20" s="224">
        <f t="shared" si="13"/>
        <v>497.57600000000014</v>
      </c>
      <c r="E20" s="224">
        <f t="shared" si="13"/>
        <v>684.16700000000003</v>
      </c>
      <c r="F20" s="224">
        <f t="shared" si="13"/>
        <v>870.75800000000015</v>
      </c>
      <c r="G20" s="224">
        <f t="shared" si="13"/>
        <v>621.97000000000014</v>
      </c>
      <c r="H20" s="224">
        <f t="shared" si="13"/>
        <v>435.37900000000008</v>
      </c>
      <c r="I20" s="224">
        <f t="shared" si="13"/>
        <v>497.57600000000014</v>
      </c>
      <c r="J20" s="224">
        <f t="shared" si="13"/>
        <v>746.36400000000003</v>
      </c>
      <c r="K20" s="224">
        <f t="shared" si="13"/>
        <v>808.56100000000015</v>
      </c>
      <c r="L20" s="224">
        <f t="shared" si="13"/>
        <v>373.18200000000002</v>
      </c>
      <c r="M20" s="224">
        <f t="shared" si="13"/>
        <v>62.197000000000017</v>
      </c>
      <c r="N20" s="171">
        <f t="shared" si="14"/>
        <v>6219.7</v>
      </c>
    </row>
    <row r="21" spans="1:14" ht="15" thickBot="1">
      <c r="A21" s="228" t="s">
        <v>310</v>
      </c>
      <c r="B21" s="224">
        <f t="shared" si="15"/>
        <v>310.98500000000007</v>
      </c>
      <c r="C21" s="224">
        <f t="shared" si="13"/>
        <v>310.98500000000007</v>
      </c>
      <c r="D21" s="224">
        <f t="shared" si="13"/>
        <v>497.57600000000014</v>
      </c>
      <c r="E21" s="224">
        <f t="shared" si="13"/>
        <v>684.16700000000003</v>
      </c>
      <c r="F21" s="224">
        <f t="shared" si="13"/>
        <v>870.75800000000015</v>
      </c>
      <c r="G21" s="224">
        <f t="shared" si="13"/>
        <v>621.97000000000014</v>
      </c>
      <c r="H21" s="224">
        <f t="shared" si="13"/>
        <v>435.37900000000008</v>
      </c>
      <c r="I21" s="224">
        <f t="shared" si="13"/>
        <v>497.57600000000014</v>
      </c>
      <c r="J21" s="224">
        <f t="shared" si="13"/>
        <v>746.36400000000003</v>
      </c>
      <c r="K21" s="224">
        <f t="shared" si="13"/>
        <v>808.56100000000015</v>
      </c>
      <c r="L21" s="224">
        <f t="shared" si="13"/>
        <v>373.18200000000002</v>
      </c>
      <c r="M21" s="224">
        <f t="shared" si="13"/>
        <v>62.197000000000017</v>
      </c>
      <c r="N21" s="230">
        <f t="shared" si="14"/>
        <v>6219.7</v>
      </c>
    </row>
    <row r="22" spans="1:14" ht="15" thickTop="1">
      <c r="A22" s="225" t="s">
        <v>311</v>
      </c>
      <c r="B22" s="226">
        <f>SUM(B18:B21)</f>
        <v>1243.9400000000003</v>
      </c>
      <c r="C22" s="226">
        <f t="shared" ref="C22:M22" si="16">SUM(C18:C21)</f>
        <v>1243.9400000000003</v>
      </c>
      <c r="D22" s="226">
        <f t="shared" si="16"/>
        <v>1990.3040000000005</v>
      </c>
      <c r="E22" s="226">
        <f t="shared" si="16"/>
        <v>2736.6680000000001</v>
      </c>
      <c r="F22" s="226">
        <f t="shared" si="16"/>
        <v>3483.0320000000006</v>
      </c>
      <c r="G22" s="226">
        <f t="shared" si="16"/>
        <v>2487.8800000000006</v>
      </c>
      <c r="H22" s="226">
        <f t="shared" si="16"/>
        <v>1741.5160000000003</v>
      </c>
      <c r="I22" s="226">
        <f t="shared" si="16"/>
        <v>1990.3040000000005</v>
      </c>
      <c r="J22" s="226">
        <f t="shared" si="16"/>
        <v>2985.4560000000001</v>
      </c>
      <c r="K22" s="226">
        <f t="shared" si="16"/>
        <v>3234.2440000000006</v>
      </c>
      <c r="L22" s="226">
        <f t="shared" si="16"/>
        <v>1492.7280000000001</v>
      </c>
      <c r="M22" s="226">
        <f t="shared" si="16"/>
        <v>248.78800000000007</v>
      </c>
      <c r="N22" s="227">
        <f>SUM(B22:M22)</f>
        <v>24878.799999999999</v>
      </c>
    </row>
    <row r="25" spans="1:14">
      <c r="A25" s="341" t="s">
        <v>312</v>
      </c>
      <c r="B25" s="341"/>
    </row>
    <row r="26" spans="1:14" ht="29">
      <c r="A26" s="21" t="s">
        <v>46</v>
      </c>
      <c r="B26" s="173" t="s">
        <v>313</v>
      </c>
    </row>
    <row r="27" spans="1:14">
      <c r="A27" s="172" t="s">
        <v>314</v>
      </c>
      <c r="B27" s="174">
        <v>750</v>
      </c>
    </row>
    <row r="28" spans="1:14">
      <c r="A28" s="172" t="s">
        <v>315</v>
      </c>
      <c r="B28" s="174">
        <v>3500</v>
      </c>
    </row>
    <row r="29" spans="1:14">
      <c r="A29" s="172" t="s">
        <v>244</v>
      </c>
      <c r="B29" s="174">
        <v>3000</v>
      </c>
    </row>
    <row r="30" spans="1:14" ht="15" thickBot="1">
      <c r="A30" s="228" t="s">
        <v>316</v>
      </c>
      <c r="B30" s="231">
        <v>2500</v>
      </c>
    </row>
    <row r="31" spans="1:14" ht="14.5" customHeight="1" thickTop="1">
      <c r="A31" s="225" t="s">
        <v>82</v>
      </c>
      <c r="B31" s="226">
        <f>SUM(B27:B30)</f>
        <v>9750</v>
      </c>
    </row>
    <row r="33" spans="1:2">
      <c r="A33" s="356" t="s">
        <v>317</v>
      </c>
      <c r="B33" s="356"/>
    </row>
    <row r="34" spans="1:2">
      <c r="A34" s="21" t="s">
        <v>46</v>
      </c>
      <c r="B34" s="21" t="s">
        <v>318</v>
      </c>
    </row>
    <row r="35" spans="1:2">
      <c r="A35" s="1" t="s">
        <v>319</v>
      </c>
      <c r="B35" s="174">
        <v>5000</v>
      </c>
    </row>
    <row r="36" spans="1:2">
      <c r="A36" s="1" t="s">
        <v>320</v>
      </c>
      <c r="B36" s="174">
        <v>3000</v>
      </c>
    </row>
    <row r="37" spans="1:2" ht="15" thickBot="1">
      <c r="A37" s="232" t="s">
        <v>321</v>
      </c>
      <c r="B37" s="231">
        <v>2400</v>
      </c>
    </row>
    <row r="38" spans="1:2" ht="15" thickTop="1">
      <c r="A38" s="225" t="s">
        <v>82</v>
      </c>
      <c r="B38" s="226">
        <f>SUM(B35:B37)</f>
        <v>10400</v>
      </c>
    </row>
    <row r="39" spans="1:2" ht="15" thickBot="1">
      <c r="A39" s="170"/>
      <c r="B39" s="170"/>
    </row>
    <row r="40" spans="1:2" ht="15" thickTop="1">
      <c r="A40" s="373" t="s">
        <v>322</v>
      </c>
      <c r="B40" s="375">
        <f>N13+B31+B38</f>
        <v>33598</v>
      </c>
    </row>
    <row r="41" spans="1:2" ht="15" thickBot="1">
      <c r="A41" s="374"/>
      <c r="B41" s="376"/>
    </row>
    <row r="42" spans="1:2" ht="15" thickTop="1"/>
    <row r="43" spans="1:2">
      <c r="A43" s="46" t="s">
        <v>126</v>
      </c>
    </row>
    <row r="44" spans="1:2">
      <c r="A44" s="332" t="s">
        <v>323</v>
      </c>
      <c r="B44" s="332"/>
    </row>
    <row r="45" spans="1:2">
      <c r="A45" s="332"/>
      <c r="B45" s="332"/>
    </row>
    <row r="46" spans="1:2">
      <c r="A46" s="332"/>
      <c r="B46" s="332"/>
    </row>
  </sheetData>
  <mergeCells count="8">
    <mergeCell ref="A44:B46"/>
    <mergeCell ref="A40:A41"/>
    <mergeCell ref="B40:B41"/>
    <mergeCell ref="A1:G1"/>
    <mergeCell ref="A25:B25"/>
    <mergeCell ref="A6:N6"/>
    <mergeCell ref="A33:B33"/>
    <mergeCell ref="A15:N15"/>
  </mergeCells>
  <pageMargins left="0.7" right="0.7" top="0.75" bottom="0.75" header="0.3" footer="0.3"/>
  <pageSetup scale="69" orientation="landscape"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96F0-974D-4540-91CE-5C79100F6791}">
  <sheetPr>
    <tabColor rgb="FF0070C0"/>
  </sheetPr>
  <dimension ref="A1:O14"/>
  <sheetViews>
    <sheetView zoomScaleNormal="100" zoomScalePageLayoutView="55" workbookViewId="0">
      <selection activeCell="C15" sqref="C15"/>
    </sheetView>
  </sheetViews>
  <sheetFormatPr defaultRowHeight="14.5"/>
  <cols>
    <col min="1" max="1" width="29.453125" bestFit="1" customWidth="1"/>
    <col min="2" max="2" width="8" bestFit="1" customWidth="1"/>
    <col min="3" max="3" width="14.1796875" bestFit="1" customWidth="1"/>
    <col min="4" max="4" width="9.453125" bestFit="1" customWidth="1"/>
    <col min="5" max="5" width="16.81640625" bestFit="1" customWidth="1"/>
    <col min="6" max="6" width="62.81640625" bestFit="1" customWidth="1"/>
    <col min="11" max="11" width="23.81640625" bestFit="1" customWidth="1"/>
  </cols>
  <sheetData>
    <row r="1" spans="1:15" ht="15" thickBot="1">
      <c r="A1" s="379" t="s">
        <v>324</v>
      </c>
      <c r="B1" s="380"/>
      <c r="C1" s="380"/>
      <c r="D1" s="380"/>
      <c r="E1" s="381"/>
    </row>
    <row r="3" spans="1:15" ht="26.5" customHeight="1">
      <c r="A3" s="24" t="s">
        <v>325</v>
      </c>
      <c r="B3" s="24" t="s">
        <v>326</v>
      </c>
      <c r="C3" s="24" t="s">
        <v>327</v>
      </c>
      <c r="D3" s="24" t="s">
        <v>328</v>
      </c>
      <c r="E3" s="24" t="s">
        <v>329</v>
      </c>
      <c r="F3" s="24" t="s">
        <v>126</v>
      </c>
    </row>
    <row r="4" spans="1:15">
      <c r="A4" s="27" t="s">
        <v>330</v>
      </c>
      <c r="B4" s="26">
        <v>40000</v>
      </c>
      <c r="C4" s="28">
        <v>5</v>
      </c>
      <c r="D4" s="26">
        <v>5000</v>
      </c>
      <c r="E4" s="25">
        <v>7000</v>
      </c>
      <c r="F4" s="1" t="s">
        <v>331</v>
      </c>
    </row>
    <row r="5" spans="1:15">
      <c r="A5" s="27" t="s">
        <v>332</v>
      </c>
      <c r="B5" s="26">
        <v>15000</v>
      </c>
      <c r="C5" s="28">
        <v>5</v>
      </c>
      <c r="D5" s="26">
        <v>0</v>
      </c>
      <c r="E5" s="25">
        <v>3000</v>
      </c>
      <c r="F5" s="1" t="s">
        <v>333</v>
      </c>
      <c r="L5" s="135"/>
      <c r="N5" s="135"/>
      <c r="O5" s="135"/>
    </row>
    <row r="6" spans="1:15">
      <c r="A6" s="27" t="s">
        <v>334</v>
      </c>
      <c r="B6" s="26">
        <v>5000</v>
      </c>
      <c r="C6" s="28">
        <v>3</v>
      </c>
      <c r="D6" s="26">
        <v>0</v>
      </c>
      <c r="E6" s="25">
        <v>1667</v>
      </c>
      <c r="F6" s="1" t="s">
        <v>335</v>
      </c>
      <c r="L6" s="135"/>
      <c r="O6" s="135"/>
    </row>
    <row r="7" spans="1:15">
      <c r="A7" s="27" t="s">
        <v>336</v>
      </c>
      <c r="B7" s="26">
        <v>2200</v>
      </c>
      <c r="C7" s="28">
        <v>4</v>
      </c>
      <c r="D7" s="26">
        <v>0</v>
      </c>
      <c r="E7" s="25">
        <v>550</v>
      </c>
      <c r="F7" s="1" t="s">
        <v>337</v>
      </c>
      <c r="L7" s="135"/>
      <c r="O7" s="135"/>
    </row>
    <row r="8" spans="1:15">
      <c r="A8" s="24" t="s">
        <v>82</v>
      </c>
      <c r="B8" s="25">
        <f>SUM(B4:B7)</f>
        <v>62200</v>
      </c>
      <c r="C8" s="19"/>
      <c r="D8" s="25">
        <f>SUM(D4:D7)</f>
        <v>5000</v>
      </c>
      <c r="E8" s="25">
        <f>SUM(E4:E7)</f>
        <v>12217</v>
      </c>
      <c r="F8" s="1"/>
      <c r="L8" s="135"/>
    </row>
    <row r="9" spans="1:15">
      <c r="L9" s="135"/>
      <c r="O9" s="135"/>
    </row>
    <row r="11" spans="1:15" ht="18.5">
      <c r="A11" s="20" t="s">
        <v>338</v>
      </c>
      <c r="B11" s="20"/>
      <c r="C11" s="20"/>
    </row>
    <row r="12" spans="1:15">
      <c r="B12" s="21">
        <v>2026</v>
      </c>
      <c r="C12" s="21">
        <v>2027</v>
      </c>
    </row>
    <row r="13" spans="1:15">
      <c r="A13" s="1" t="s">
        <v>339</v>
      </c>
      <c r="B13" s="23">
        <f>B8</f>
        <v>62200</v>
      </c>
      <c r="C13" s="23">
        <f>B13-B14</f>
        <v>49983</v>
      </c>
    </row>
    <row r="14" spans="1:15">
      <c r="A14" s="1" t="s">
        <v>340</v>
      </c>
      <c r="B14" s="23">
        <f>SUM(E4:E7)</f>
        <v>12217</v>
      </c>
      <c r="C14" s="23">
        <f>E8</f>
        <v>12217</v>
      </c>
    </row>
  </sheetData>
  <mergeCells count="1">
    <mergeCell ref="A1:E1"/>
  </mergeCells>
  <conditionalFormatting sqref="A1">
    <cfRule type="colorScale" priority="1">
      <colorScale>
        <cfvo type="min"/>
        <cfvo type="percentile" val="50"/>
        <cfvo type="max"/>
        <color rgb="FFF8696B"/>
        <color rgb="FFFFEB84"/>
        <color rgb="FF63BE7B"/>
      </colorScale>
    </cfRule>
  </conditionalFormatting>
  <pageMargins left="0.38" right="0.25" top="0.75" bottom="0.75" header="0.3" footer="0.3"/>
  <pageSetup orientation="landscape" r:id="rId1"/>
  <headerFooter>
    <oddFooter>&amp;LPrepared by: Miraj Sangani&amp;CAssets and Depreciation    &amp;R&amp;P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9A83-90AE-4415-91FB-1498E6E277B5}">
  <sheetPr>
    <tabColor theme="7" tint="0.39997558519241921"/>
    <pageSetUpPr fitToPage="1"/>
  </sheetPr>
  <dimension ref="A1:N35"/>
  <sheetViews>
    <sheetView topLeftCell="A18" zoomScaleNormal="100" zoomScalePageLayoutView="55" workbookViewId="0">
      <selection activeCell="M32" sqref="M32"/>
    </sheetView>
  </sheetViews>
  <sheetFormatPr defaultRowHeight="14.5"/>
  <cols>
    <col min="1" max="1" width="31.7265625" bestFit="1" customWidth="1"/>
    <col min="2" max="14" width="11.54296875" customWidth="1"/>
    <col min="15" max="16" width="11.26953125" bestFit="1" customWidth="1"/>
    <col min="17" max="17" width="9.81640625" bestFit="1" customWidth="1"/>
  </cols>
  <sheetData>
    <row r="1" spans="1:7" ht="15" thickBot="1">
      <c r="A1" s="382" t="s">
        <v>341</v>
      </c>
      <c r="B1" s="383"/>
      <c r="C1" s="383"/>
      <c r="D1" s="383"/>
      <c r="E1" s="383"/>
      <c r="F1" s="383"/>
      <c r="G1" s="384"/>
    </row>
    <row r="3" spans="1:7">
      <c r="A3" s="21" t="s">
        <v>46</v>
      </c>
      <c r="B3" s="21" t="s">
        <v>342</v>
      </c>
    </row>
    <row r="4" spans="1:7" ht="29">
      <c r="A4" s="1" t="s">
        <v>343</v>
      </c>
      <c r="B4" s="113">
        <v>3000</v>
      </c>
      <c r="C4" s="176" t="s">
        <v>344</v>
      </c>
    </row>
    <row r="5" spans="1:7">
      <c r="A5" s="1" t="s">
        <v>345</v>
      </c>
      <c r="B5" s="139">
        <v>0</v>
      </c>
      <c r="C5" s="176"/>
    </row>
    <row r="6" spans="1:7">
      <c r="A6" s="1" t="s">
        <v>346</v>
      </c>
      <c r="B6" s="113">
        <v>0</v>
      </c>
    </row>
    <row r="7" spans="1:7">
      <c r="A7" s="1" t="s">
        <v>347</v>
      </c>
      <c r="B7" s="139">
        <v>0</v>
      </c>
    </row>
    <row r="9" spans="1:7">
      <c r="A9" s="21" t="s">
        <v>46</v>
      </c>
      <c r="B9" s="140" t="s">
        <v>342</v>
      </c>
    </row>
    <row r="10" spans="1:7">
      <c r="A10" s="1" t="s">
        <v>348</v>
      </c>
      <c r="B10" s="141"/>
    </row>
    <row r="11" spans="1:7" ht="43.5">
      <c r="A11" s="1" t="s">
        <v>349</v>
      </c>
      <c r="B11" s="141">
        <v>160</v>
      </c>
      <c r="C11" s="100" t="s">
        <v>350</v>
      </c>
    </row>
    <row r="12" spans="1:7">
      <c r="A12" s="1" t="s">
        <v>351</v>
      </c>
      <c r="B12" s="142">
        <v>22</v>
      </c>
    </row>
    <row r="13" spans="1:7">
      <c r="A13" s="1" t="s">
        <v>352</v>
      </c>
      <c r="B13" s="143">
        <v>0.21</v>
      </c>
    </row>
    <row r="14" spans="1:7">
      <c r="A14" s="1" t="s">
        <v>353</v>
      </c>
      <c r="B14" s="141"/>
    </row>
    <row r="15" spans="1:7">
      <c r="A15" s="1" t="s">
        <v>354</v>
      </c>
      <c r="B15" s="142">
        <v>18</v>
      </c>
    </row>
    <row r="16" spans="1:7">
      <c r="A16" s="1" t="s">
        <v>355</v>
      </c>
      <c r="B16" s="143">
        <v>0.18</v>
      </c>
    </row>
    <row r="19" spans="1:14" ht="14.15" customHeight="1">
      <c r="A19" s="1" t="s">
        <v>356</v>
      </c>
      <c r="B19" s="300">
        <v>46023</v>
      </c>
      <c r="C19" s="300">
        <v>46054</v>
      </c>
      <c r="D19" s="300">
        <v>46082</v>
      </c>
      <c r="E19" s="300">
        <v>46113</v>
      </c>
      <c r="F19" s="300">
        <v>46143</v>
      </c>
      <c r="G19" s="300">
        <v>46174</v>
      </c>
      <c r="H19" s="300">
        <v>46204</v>
      </c>
      <c r="I19" s="300">
        <v>46235</v>
      </c>
      <c r="J19" s="300">
        <v>46266</v>
      </c>
      <c r="K19" s="300">
        <v>46296</v>
      </c>
      <c r="L19" s="300">
        <v>46327</v>
      </c>
      <c r="M19" s="300">
        <v>46357</v>
      </c>
      <c r="N19" s="24" t="s">
        <v>357</v>
      </c>
    </row>
    <row r="20" spans="1:14" ht="14.15" customHeight="1">
      <c r="A20" s="1" t="s">
        <v>358</v>
      </c>
      <c r="B20" s="144">
        <v>160</v>
      </c>
      <c r="C20" s="144">
        <v>160</v>
      </c>
      <c r="D20" s="144">
        <v>160</v>
      </c>
      <c r="E20" s="144">
        <v>160</v>
      </c>
      <c r="F20" s="144">
        <v>160</v>
      </c>
      <c r="G20" s="144">
        <v>160</v>
      </c>
      <c r="H20" s="144">
        <v>160</v>
      </c>
      <c r="I20" s="144">
        <v>160</v>
      </c>
      <c r="J20" s="144">
        <v>160</v>
      </c>
      <c r="K20" s="144">
        <v>160</v>
      </c>
      <c r="L20" s="144">
        <v>160</v>
      </c>
      <c r="M20" s="144">
        <v>160</v>
      </c>
      <c r="N20" s="134">
        <f>SUM(B20:M20)</f>
        <v>1920</v>
      </c>
    </row>
    <row r="21" spans="1:14" ht="14.15" customHeight="1">
      <c r="A21" s="1" t="s">
        <v>359</v>
      </c>
      <c r="B21" s="23">
        <f>B20*$B$12</f>
        <v>3520</v>
      </c>
      <c r="C21" s="23">
        <f t="shared" ref="C21:N21" si="0">C20*$B$12</f>
        <v>3520</v>
      </c>
      <c r="D21" s="23">
        <f t="shared" si="0"/>
        <v>3520</v>
      </c>
      <c r="E21" s="23">
        <f t="shared" si="0"/>
        <v>3520</v>
      </c>
      <c r="F21" s="23">
        <f t="shared" si="0"/>
        <v>3520</v>
      </c>
      <c r="G21" s="23">
        <f t="shared" si="0"/>
        <v>3520</v>
      </c>
      <c r="H21" s="23">
        <f t="shared" si="0"/>
        <v>3520</v>
      </c>
      <c r="I21" s="23">
        <f t="shared" si="0"/>
        <v>3520</v>
      </c>
      <c r="J21" s="23">
        <f t="shared" si="0"/>
        <v>3520</v>
      </c>
      <c r="K21" s="23">
        <f t="shared" si="0"/>
        <v>3520</v>
      </c>
      <c r="L21" s="23">
        <f t="shared" si="0"/>
        <v>3520</v>
      </c>
      <c r="M21" s="23">
        <f t="shared" si="0"/>
        <v>3520</v>
      </c>
      <c r="N21" s="23">
        <f t="shared" si="0"/>
        <v>42240</v>
      </c>
    </row>
    <row r="22" spans="1:14" ht="14.15" customHeight="1">
      <c r="A22" s="1" t="s">
        <v>360</v>
      </c>
      <c r="B22" s="23">
        <f>B21*$B$13</f>
        <v>739.19999999999993</v>
      </c>
      <c r="C22" s="23">
        <f t="shared" ref="C22:N22" si="1">C21*$B$13</f>
        <v>739.19999999999993</v>
      </c>
      <c r="D22" s="23">
        <f t="shared" si="1"/>
        <v>739.19999999999993</v>
      </c>
      <c r="E22" s="23">
        <f t="shared" si="1"/>
        <v>739.19999999999993</v>
      </c>
      <c r="F22" s="23">
        <f t="shared" si="1"/>
        <v>739.19999999999993</v>
      </c>
      <c r="G22" s="23">
        <f t="shared" si="1"/>
        <v>739.19999999999993</v>
      </c>
      <c r="H22" s="23">
        <f t="shared" si="1"/>
        <v>739.19999999999993</v>
      </c>
      <c r="I22" s="23">
        <f t="shared" si="1"/>
        <v>739.19999999999993</v>
      </c>
      <c r="J22" s="23">
        <f t="shared" si="1"/>
        <v>739.19999999999993</v>
      </c>
      <c r="K22" s="23">
        <f t="shared" si="1"/>
        <v>739.19999999999993</v>
      </c>
      <c r="L22" s="23">
        <f t="shared" si="1"/>
        <v>739.19999999999993</v>
      </c>
      <c r="M22" s="23">
        <f t="shared" si="1"/>
        <v>739.19999999999993</v>
      </c>
      <c r="N22" s="23">
        <f t="shared" si="1"/>
        <v>8870.4</v>
      </c>
    </row>
    <row r="23" spans="1:14" ht="14.15" customHeight="1">
      <c r="A23" s="1" t="s">
        <v>361</v>
      </c>
      <c r="B23" s="144">
        <v>0</v>
      </c>
      <c r="C23" s="144">
        <v>0</v>
      </c>
      <c r="D23" s="144">
        <v>0</v>
      </c>
      <c r="E23" s="144">
        <v>0</v>
      </c>
      <c r="F23" s="144">
        <v>60</v>
      </c>
      <c r="G23" s="144">
        <v>60</v>
      </c>
      <c r="H23" s="144">
        <v>30</v>
      </c>
      <c r="I23" s="144">
        <v>60</v>
      </c>
      <c r="J23" s="144">
        <v>90</v>
      </c>
      <c r="K23" s="144">
        <v>100</v>
      </c>
      <c r="L23" s="144">
        <v>60</v>
      </c>
      <c r="M23" s="144">
        <v>0</v>
      </c>
      <c r="N23" s="1">
        <f>SUM(B23:M23)</f>
        <v>460</v>
      </c>
    </row>
    <row r="24" spans="1:14" ht="14.15" customHeight="1">
      <c r="A24" s="1" t="s">
        <v>362</v>
      </c>
      <c r="B24" s="23">
        <f>B23*$B$15</f>
        <v>0</v>
      </c>
      <c r="C24" s="23">
        <f t="shared" ref="C24:N24" si="2">C23*$B$15</f>
        <v>0</v>
      </c>
      <c r="D24" s="23">
        <f t="shared" si="2"/>
        <v>0</v>
      </c>
      <c r="E24" s="23">
        <f t="shared" si="2"/>
        <v>0</v>
      </c>
      <c r="F24" s="23">
        <f t="shared" si="2"/>
        <v>1080</v>
      </c>
      <c r="G24" s="23">
        <f t="shared" si="2"/>
        <v>1080</v>
      </c>
      <c r="H24" s="23">
        <f t="shared" si="2"/>
        <v>540</v>
      </c>
      <c r="I24" s="23">
        <f t="shared" si="2"/>
        <v>1080</v>
      </c>
      <c r="J24" s="23">
        <f t="shared" si="2"/>
        <v>1620</v>
      </c>
      <c r="K24" s="23">
        <f t="shared" si="2"/>
        <v>1800</v>
      </c>
      <c r="L24" s="23">
        <f t="shared" si="2"/>
        <v>1080</v>
      </c>
      <c r="M24" s="23">
        <f t="shared" si="2"/>
        <v>0</v>
      </c>
      <c r="N24" s="23">
        <f t="shared" si="2"/>
        <v>8280</v>
      </c>
    </row>
    <row r="25" spans="1:14" ht="14.15" customHeight="1">
      <c r="A25" s="1" t="s">
        <v>363</v>
      </c>
      <c r="B25" s="23">
        <f>B24*$B$16</f>
        <v>0</v>
      </c>
      <c r="C25" s="23">
        <f t="shared" ref="C25:M25" si="3">C24*$B$16</f>
        <v>0</v>
      </c>
      <c r="D25" s="23">
        <f t="shared" si="3"/>
        <v>0</v>
      </c>
      <c r="E25" s="23">
        <f t="shared" si="3"/>
        <v>0</v>
      </c>
      <c r="F25" s="23">
        <f t="shared" si="3"/>
        <v>194.4</v>
      </c>
      <c r="G25" s="23">
        <f t="shared" si="3"/>
        <v>194.4</v>
      </c>
      <c r="H25" s="23">
        <f t="shared" si="3"/>
        <v>97.2</v>
      </c>
      <c r="I25" s="23">
        <f t="shared" si="3"/>
        <v>194.4</v>
      </c>
      <c r="J25" s="23">
        <f t="shared" si="3"/>
        <v>291.59999999999997</v>
      </c>
      <c r="K25" s="23">
        <f t="shared" si="3"/>
        <v>324</v>
      </c>
      <c r="L25" s="23">
        <f t="shared" si="3"/>
        <v>194.4</v>
      </c>
      <c r="M25" s="23">
        <f t="shared" si="3"/>
        <v>0</v>
      </c>
      <c r="N25" s="23">
        <f>N24*$B$16</f>
        <v>1490.3999999999999</v>
      </c>
    </row>
    <row r="26" spans="1:14" ht="14.15" customHeight="1">
      <c r="A26" s="21" t="s">
        <v>364</v>
      </c>
      <c r="B26" s="138" cm="1">
        <f t="array" ref="B26">SUM(B21:B22+B24:B25)</f>
        <v>4259.2</v>
      </c>
      <c r="C26" s="138" cm="1">
        <f t="array" ref="C26">SUM(C21:C22+C24:C25)</f>
        <v>4259.2</v>
      </c>
      <c r="D26" s="138" cm="1">
        <f t="array" ref="D26">SUM(D21:D22+D24:D25)</f>
        <v>4259.2</v>
      </c>
      <c r="E26" s="138" cm="1">
        <f t="array" ref="E26">SUM(E21:E22+E24:E25)</f>
        <v>4259.2</v>
      </c>
      <c r="F26" s="138" cm="1">
        <f t="array" ref="F26">SUM(F21:F22+F24:F25)</f>
        <v>5533.6</v>
      </c>
      <c r="G26" s="138" cm="1">
        <f t="array" ref="G26">SUM(G21:G22+G24:G25)</f>
        <v>5533.6</v>
      </c>
      <c r="H26" s="138" cm="1">
        <f t="array" ref="H26">SUM(H21:H22+H24:H25)</f>
        <v>4896.3999999999996</v>
      </c>
      <c r="I26" s="138" cm="1">
        <f t="array" ref="I26">SUM(I21:I22+I24:I25)</f>
        <v>5533.6</v>
      </c>
      <c r="J26" s="138" cm="1">
        <f t="array" ref="J26">SUM(J21:J22+J24:J25)</f>
        <v>6170.8</v>
      </c>
      <c r="K26" s="138" cm="1">
        <f t="array" ref="K26">SUM(K21:K22+K24:K25)</f>
        <v>6383.2</v>
      </c>
      <c r="L26" s="138" cm="1">
        <f t="array" ref="L26">SUM(L21:L22+L24:L25)</f>
        <v>5533.6</v>
      </c>
      <c r="M26" s="138" cm="1">
        <f t="array" ref="M26">SUM(M21:M22+M24:M25)</f>
        <v>4259.2</v>
      </c>
      <c r="N26" s="138" cm="1">
        <f t="array" ref="N26">SUM(N21:N22+N24:N25)</f>
        <v>60880.800000000003</v>
      </c>
    </row>
    <row r="28" spans="1:14">
      <c r="A28" s="1" t="s">
        <v>356</v>
      </c>
      <c r="B28" s="300">
        <v>46388</v>
      </c>
      <c r="C28" s="300">
        <v>46419</v>
      </c>
      <c r="D28" s="300">
        <v>46447</v>
      </c>
      <c r="E28" s="300">
        <v>46478</v>
      </c>
      <c r="F28" s="300">
        <v>46508</v>
      </c>
      <c r="G28" s="300">
        <v>46539</v>
      </c>
      <c r="H28" s="300">
        <v>46569</v>
      </c>
      <c r="I28" s="300">
        <v>46600</v>
      </c>
      <c r="J28" s="300">
        <v>46631</v>
      </c>
      <c r="K28" s="300">
        <v>46661</v>
      </c>
      <c r="L28" s="300">
        <v>46692</v>
      </c>
      <c r="M28" s="300">
        <v>46722</v>
      </c>
      <c r="N28" s="24" t="s">
        <v>357</v>
      </c>
    </row>
    <row r="29" spans="1:14">
      <c r="A29" s="1" t="s">
        <v>358</v>
      </c>
      <c r="B29" s="144">
        <v>320</v>
      </c>
      <c r="C29" s="144">
        <v>320</v>
      </c>
      <c r="D29" s="144">
        <v>320</v>
      </c>
      <c r="E29" s="144">
        <v>320</v>
      </c>
      <c r="F29" s="144">
        <v>320</v>
      </c>
      <c r="G29" s="144">
        <v>320</v>
      </c>
      <c r="H29" s="144">
        <v>320</v>
      </c>
      <c r="I29" s="144">
        <v>320</v>
      </c>
      <c r="J29" s="144">
        <v>320</v>
      </c>
      <c r="K29" s="144">
        <v>320</v>
      </c>
      <c r="L29" s="144">
        <v>320</v>
      </c>
      <c r="M29" s="144">
        <v>320</v>
      </c>
      <c r="N29" s="134">
        <f>SUM(B29:M29)</f>
        <v>3840</v>
      </c>
    </row>
    <row r="30" spans="1:14">
      <c r="A30" s="1" t="s">
        <v>359</v>
      </c>
      <c r="B30" s="23">
        <f>B29*$B$12</f>
        <v>7040</v>
      </c>
      <c r="C30" s="23">
        <f t="shared" ref="C30:N30" si="4">C29*$B$12</f>
        <v>7040</v>
      </c>
      <c r="D30" s="23">
        <f t="shared" si="4"/>
        <v>7040</v>
      </c>
      <c r="E30" s="23">
        <f t="shared" si="4"/>
        <v>7040</v>
      </c>
      <c r="F30" s="23">
        <f t="shared" si="4"/>
        <v>7040</v>
      </c>
      <c r="G30" s="23">
        <f t="shared" si="4"/>
        <v>7040</v>
      </c>
      <c r="H30" s="23">
        <f t="shared" si="4"/>
        <v>7040</v>
      </c>
      <c r="I30" s="23">
        <f t="shared" si="4"/>
        <v>7040</v>
      </c>
      <c r="J30" s="23">
        <f t="shared" si="4"/>
        <v>7040</v>
      </c>
      <c r="K30" s="23">
        <f t="shared" si="4"/>
        <v>7040</v>
      </c>
      <c r="L30" s="23">
        <f t="shared" si="4"/>
        <v>7040</v>
      </c>
      <c r="M30" s="23">
        <f t="shared" si="4"/>
        <v>7040</v>
      </c>
      <c r="N30" s="23">
        <f t="shared" si="4"/>
        <v>84480</v>
      </c>
    </row>
    <row r="31" spans="1:14">
      <c r="A31" s="1" t="s">
        <v>360</v>
      </c>
      <c r="B31" s="23">
        <f>B30*$B$13</f>
        <v>1478.3999999999999</v>
      </c>
      <c r="C31" s="23">
        <f t="shared" ref="C31:N31" si="5">C30*$B$13</f>
        <v>1478.3999999999999</v>
      </c>
      <c r="D31" s="23">
        <f t="shared" si="5"/>
        <v>1478.3999999999999</v>
      </c>
      <c r="E31" s="23">
        <f t="shared" si="5"/>
        <v>1478.3999999999999</v>
      </c>
      <c r="F31" s="23">
        <f t="shared" si="5"/>
        <v>1478.3999999999999</v>
      </c>
      <c r="G31" s="23">
        <f t="shared" si="5"/>
        <v>1478.3999999999999</v>
      </c>
      <c r="H31" s="23">
        <f t="shared" si="5"/>
        <v>1478.3999999999999</v>
      </c>
      <c r="I31" s="23">
        <f t="shared" si="5"/>
        <v>1478.3999999999999</v>
      </c>
      <c r="J31" s="23">
        <f t="shared" si="5"/>
        <v>1478.3999999999999</v>
      </c>
      <c r="K31" s="23">
        <f t="shared" si="5"/>
        <v>1478.3999999999999</v>
      </c>
      <c r="L31" s="23">
        <f t="shared" si="5"/>
        <v>1478.3999999999999</v>
      </c>
      <c r="M31" s="23">
        <f t="shared" si="5"/>
        <v>1478.3999999999999</v>
      </c>
      <c r="N31" s="23">
        <f t="shared" si="5"/>
        <v>17740.8</v>
      </c>
    </row>
    <row r="32" spans="1:14">
      <c r="A32" s="1" t="s">
        <v>361</v>
      </c>
      <c r="B32" s="144">
        <v>0</v>
      </c>
      <c r="C32" s="144">
        <v>0</v>
      </c>
      <c r="D32" s="144">
        <v>0</v>
      </c>
      <c r="E32" s="144">
        <v>0</v>
      </c>
      <c r="F32" s="144">
        <v>120</v>
      </c>
      <c r="G32" s="144">
        <v>120</v>
      </c>
      <c r="H32" s="144">
        <v>60</v>
      </c>
      <c r="I32" s="144">
        <v>120</v>
      </c>
      <c r="J32" s="144">
        <v>180</v>
      </c>
      <c r="K32" s="144">
        <v>200</v>
      </c>
      <c r="L32" s="144">
        <v>120</v>
      </c>
      <c r="M32" s="144">
        <v>0</v>
      </c>
      <c r="N32" s="1">
        <f>SUM(B32:M32)</f>
        <v>920</v>
      </c>
    </row>
    <row r="33" spans="1:14">
      <c r="A33" s="1" t="s">
        <v>362</v>
      </c>
      <c r="B33" s="23">
        <f>B32*$B$15</f>
        <v>0</v>
      </c>
      <c r="C33" s="23">
        <f t="shared" ref="C33:N33" si="6">C32*$B$15</f>
        <v>0</v>
      </c>
      <c r="D33" s="23">
        <f t="shared" si="6"/>
        <v>0</v>
      </c>
      <c r="E33" s="23">
        <f t="shared" si="6"/>
        <v>0</v>
      </c>
      <c r="F33" s="23">
        <f t="shared" si="6"/>
        <v>2160</v>
      </c>
      <c r="G33" s="23">
        <f t="shared" si="6"/>
        <v>2160</v>
      </c>
      <c r="H33" s="23">
        <f t="shared" si="6"/>
        <v>1080</v>
      </c>
      <c r="I33" s="23">
        <f t="shared" si="6"/>
        <v>2160</v>
      </c>
      <c r="J33" s="23">
        <f t="shared" si="6"/>
        <v>3240</v>
      </c>
      <c r="K33" s="23">
        <f t="shared" si="6"/>
        <v>3600</v>
      </c>
      <c r="L33" s="23">
        <f t="shared" si="6"/>
        <v>2160</v>
      </c>
      <c r="M33" s="23">
        <f t="shared" si="6"/>
        <v>0</v>
      </c>
      <c r="N33" s="23">
        <f t="shared" si="6"/>
        <v>16560</v>
      </c>
    </row>
    <row r="34" spans="1:14">
      <c r="A34" s="1" t="s">
        <v>363</v>
      </c>
      <c r="B34" s="23">
        <f>B33*$B$16</f>
        <v>0</v>
      </c>
      <c r="C34" s="23">
        <f t="shared" ref="C34:M34" si="7">C33*$B$16</f>
        <v>0</v>
      </c>
      <c r="D34" s="23">
        <f t="shared" si="7"/>
        <v>0</v>
      </c>
      <c r="E34" s="23">
        <f t="shared" si="7"/>
        <v>0</v>
      </c>
      <c r="F34" s="23">
        <f t="shared" si="7"/>
        <v>388.8</v>
      </c>
      <c r="G34" s="23">
        <f t="shared" si="7"/>
        <v>388.8</v>
      </c>
      <c r="H34" s="23">
        <f t="shared" si="7"/>
        <v>194.4</v>
      </c>
      <c r="I34" s="23">
        <f t="shared" si="7"/>
        <v>388.8</v>
      </c>
      <c r="J34" s="23">
        <f t="shared" si="7"/>
        <v>583.19999999999993</v>
      </c>
      <c r="K34" s="23">
        <f t="shared" si="7"/>
        <v>648</v>
      </c>
      <c r="L34" s="23">
        <f t="shared" si="7"/>
        <v>388.8</v>
      </c>
      <c r="M34" s="23">
        <f t="shared" si="7"/>
        <v>0</v>
      </c>
      <c r="N34" s="23">
        <f>N33*$B$16</f>
        <v>2980.7999999999997</v>
      </c>
    </row>
    <row r="35" spans="1:14">
      <c r="A35" s="21" t="s">
        <v>364</v>
      </c>
      <c r="B35" s="138" cm="1">
        <f t="array" ref="B35">SUM(B30:B31+B33:B34)</f>
        <v>8518.4</v>
      </c>
      <c r="C35" s="138" cm="1">
        <f t="array" ref="C35">SUM(C30:C31+C33:C34)</f>
        <v>8518.4</v>
      </c>
      <c r="D35" s="138" cm="1">
        <f t="array" ref="D35">SUM(D30:D31+D33:D34)</f>
        <v>8518.4</v>
      </c>
      <c r="E35" s="138" cm="1">
        <f t="array" ref="E35">SUM(E30:E31+E33:E34)</f>
        <v>8518.4</v>
      </c>
      <c r="F35" s="138" cm="1">
        <f t="array" ref="F35">SUM(F30:F31+F33:F34)</f>
        <v>11067.2</v>
      </c>
      <c r="G35" s="138" cm="1">
        <f t="array" ref="G35">SUM(G30:G31+G33:G34)</f>
        <v>11067.2</v>
      </c>
      <c r="H35" s="138" cm="1">
        <f t="array" ref="H35">SUM(H30:H31+H33:H34)</f>
        <v>9792.7999999999993</v>
      </c>
      <c r="I35" s="138" cm="1">
        <f t="array" ref="I35">SUM(I30:I31+I33:I34)</f>
        <v>11067.2</v>
      </c>
      <c r="J35" s="138" cm="1">
        <f t="array" ref="J35">SUM(J30:J31+J33:J34)</f>
        <v>12341.6</v>
      </c>
      <c r="K35" s="138" cm="1">
        <f t="array" ref="K35">SUM(K30:K31+K33:K34)</f>
        <v>12766.4</v>
      </c>
      <c r="L35" s="138" cm="1">
        <f t="array" ref="L35">SUM(L30:L31+L33:L34)</f>
        <v>11067.2</v>
      </c>
      <c r="M35" s="138" cm="1">
        <f t="array" ref="M35">SUM(M30:M31+M33:M34)</f>
        <v>8518.4</v>
      </c>
      <c r="N35" s="138" cm="1">
        <f t="array" ref="N35">SUM(N30:N31+N33:N34)</f>
        <v>121761.60000000001</v>
      </c>
    </row>
  </sheetData>
  <mergeCells count="1">
    <mergeCell ref="A1:G1"/>
  </mergeCells>
  <pageMargins left="0.38" right="0.25" top="0.75" bottom="0.75" header="0.3" footer="0.3"/>
  <pageSetup scale="72" orientation="landscape" r:id="rId1"/>
  <headerFooter>
    <oddFooter>&amp;LPrepared by: Miraj Sangani&amp;CHuman Resource Expenses      &amp;R&amp;P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266BA-C7EB-4B30-B77F-468C0522E84C}">
  <sheetPr>
    <tabColor theme="0" tint="-0.14999847407452621"/>
    <pageSetUpPr fitToPage="1"/>
  </sheetPr>
  <dimension ref="A1:P40"/>
  <sheetViews>
    <sheetView topLeftCell="A15" zoomScaleNormal="100" zoomScalePageLayoutView="55" workbookViewId="0">
      <selection activeCell="B4" sqref="B4"/>
    </sheetView>
  </sheetViews>
  <sheetFormatPr defaultRowHeight="14.5"/>
  <cols>
    <col min="1" max="1" width="28.1796875" bestFit="1" customWidth="1"/>
    <col min="2" max="2" width="9" bestFit="1" customWidth="1"/>
    <col min="3" max="13" width="9.1796875" bestFit="1" customWidth="1"/>
    <col min="14" max="14" width="7.81640625" bestFit="1" customWidth="1"/>
  </cols>
  <sheetData>
    <row r="1" spans="1:5" ht="15" thickBot="1">
      <c r="A1" s="385" t="s">
        <v>365</v>
      </c>
      <c r="B1" s="386"/>
      <c r="C1" s="386"/>
      <c r="D1" s="386"/>
      <c r="E1" s="387"/>
    </row>
    <row r="3" spans="1:5">
      <c r="A3" s="145" t="s">
        <v>366</v>
      </c>
      <c r="B3" s="146">
        <v>1.2500000000000001E-2</v>
      </c>
    </row>
    <row r="4" spans="1:5">
      <c r="A4" s="147"/>
      <c r="B4" s="147"/>
    </row>
    <row r="5" spans="1:5">
      <c r="A5" s="148" t="s">
        <v>367</v>
      </c>
      <c r="B5" s="147"/>
    </row>
    <row r="6" spans="1:5">
      <c r="A6" s="145" t="s">
        <v>368</v>
      </c>
      <c r="B6" s="149">
        <v>3.5000000000000003E-2</v>
      </c>
    </row>
    <row r="7" spans="1:5">
      <c r="A7" s="145" t="s">
        <v>369</v>
      </c>
      <c r="B7" s="150">
        <f>B6/12</f>
        <v>2.9166666666666668E-3</v>
      </c>
    </row>
    <row r="8" spans="1:5">
      <c r="A8" s="145" t="s">
        <v>370</v>
      </c>
      <c r="B8" s="151">
        <v>100000</v>
      </c>
    </row>
    <row r="9" spans="1:5">
      <c r="A9" s="147"/>
      <c r="B9" s="147"/>
    </row>
    <row r="10" spans="1:5">
      <c r="A10" s="148" t="s">
        <v>371</v>
      </c>
      <c r="B10" s="152">
        <v>1500</v>
      </c>
    </row>
    <row r="11" spans="1:5">
      <c r="A11" s="147"/>
      <c r="B11" s="147"/>
    </row>
    <row r="12" spans="1:5">
      <c r="A12" s="388" t="s">
        <v>372</v>
      </c>
      <c r="B12" s="388"/>
    </row>
    <row r="13" spans="1:5">
      <c r="A13" s="145" t="s">
        <v>373</v>
      </c>
      <c r="B13" s="149">
        <v>7.0000000000000007E-2</v>
      </c>
    </row>
    <row r="14" spans="1:5">
      <c r="A14" s="145" t="s">
        <v>374</v>
      </c>
      <c r="B14" s="150">
        <f>B13/12</f>
        <v>5.8333333333333336E-3</v>
      </c>
    </row>
    <row r="15" spans="1:5">
      <c r="A15" s="145" t="s">
        <v>375</v>
      </c>
      <c r="B15" s="152">
        <f>12*5</f>
        <v>60</v>
      </c>
    </row>
    <row r="16" spans="1:5">
      <c r="A16" s="145" t="s">
        <v>376</v>
      </c>
      <c r="B16" s="151">
        <v>40000</v>
      </c>
    </row>
    <row r="17" spans="1:16">
      <c r="A17" s="145" t="s">
        <v>377</v>
      </c>
      <c r="B17" s="151">
        <v>0</v>
      </c>
    </row>
    <row r="18" spans="1:16">
      <c r="A18" s="145" t="s">
        <v>378</v>
      </c>
      <c r="B18" s="153">
        <f>-PMT(B14,B15,B16,B17,)</f>
        <v>792.04794161398138</v>
      </c>
    </row>
    <row r="20" spans="1:16">
      <c r="A20" s="154" t="s">
        <v>379</v>
      </c>
      <c r="B20" s="155">
        <v>1</v>
      </c>
      <c r="C20" s="155">
        <v>2</v>
      </c>
      <c r="D20" s="155">
        <v>3</v>
      </c>
      <c r="E20" s="155">
        <v>4</v>
      </c>
      <c r="F20" s="155">
        <v>5</v>
      </c>
      <c r="G20" s="155">
        <v>6</v>
      </c>
      <c r="H20" s="155">
        <v>7</v>
      </c>
      <c r="I20" s="155">
        <v>8</v>
      </c>
      <c r="J20" s="155">
        <v>9</v>
      </c>
      <c r="K20" s="155">
        <v>10</v>
      </c>
      <c r="L20" s="155">
        <v>11</v>
      </c>
      <c r="M20" s="155">
        <v>12</v>
      </c>
      <c r="N20" s="154" t="s">
        <v>49</v>
      </c>
    </row>
    <row r="21" spans="1:16">
      <c r="A21" s="154" t="s">
        <v>380</v>
      </c>
      <c r="B21" s="287">
        <v>45658</v>
      </c>
      <c r="C21" s="287">
        <v>45689</v>
      </c>
      <c r="D21" s="287">
        <v>45717</v>
      </c>
      <c r="E21" s="287">
        <v>45748</v>
      </c>
      <c r="F21" s="287">
        <v>45778</v>
      </c>
      <c r="G21" s="287">
        <v>45809</v>
      </c>
      <c r="H21" s="287">
        <v>45839</v>
      </c>
      <c r="I21" s="287">
        <v>45870</v>
      </c>
      <c r="J21" s="287">
        <v>45901</v>
      </c>
      <c r="K21" s="287">
        <v>45931</v>
      </c>
      <c r="L21" s="287">
        <v>45962</v>
      </c>
      <c r="M21" s="287">
        <v>45992</v>
      </c>
      <c r="N21" s="154"/>
    </row>
    <row r="22" spans="1:16">
      <c r="A22" s="145" t="s">
        <v>381</v>
      </c>
      <c r="B22" s="156"/>
      <c r="C22" s="145">
        <v>1</v>
      </c>
      <c r="D22" s="145">
        <v>2</v>
      </c>
      <c r="E22" s="145">
        <v>3</v>
      </c>
      <c r="F22" s="145">
        <v>4</v>
      </c>
      <c r="G22" s="145">
        <v>5</v>
      </c>
      <c r="H22" s="145">
        <v>6</v>
      </c>
      <c r="I22" s="145">
        <v>7</v>
      </c>
      <c r="J22" s="145">
        <v>8</v>
      </c>
      <c r="K22" s="145">
        <v>9</v>
      </c>
      <c r="L22" s="145">
        <v>10</v>
      </c>
      <c r="M22" s="145">
        <v>11</v>
      </c>
      <c r="N22" s="154"/>
    </row>
    <row r="23" spans="1:16">
      <c r="A23" s="145" t="s">
        <v>382</v>
      </c>
      <c r="B23" s="157">
        <v>0</v>
      </c>
      <c r="C23" s="157">
        <f>B16</f>
        <v>40000</v>
      </c>
      <c r="D23" s="157">
        <f>C27</f>
        <v>39441.28539171935</v>
      </c>
      <c r="E23" s="157">
        <f t="shared" ref="E23:M23" si="0">D27</f>
        <v>38879.311614890401</v>
      </c>
      <c r="F23" s="157">
        <f t="shared" si="0"/>
        <v>38314.059657696613</v>
      </c>
      <c r="G23" s="157">
        <f t="shared" si="0"/>
        <v>37745.510397419195</v>
      </c>
      <c r="H23" s="157">
        <f t="shared" si="0"/>
        <v>37173.644599790161</v>
      </c>
      <c r="I23" s="157">
        <f t="shared" si="0"/>
        <v>36598.442918341621</v>
      </c>
      <c r="J23" s="157">
        <f t="shared" si="0"/>
        <v>36019.8858937513</v>
      </c>
      <c r="K23" s="157">
        <f t="shared" si="0"/>
        <v>35437.953953184202</v>
      </c>
      <c r="L23" s="157">
        <f t="shared" si="0"/>
        <v>34852.627409630462</v>
      </c>
      <c r="M23" s="157">
        <f t="shared" si="0"/>
        <v>34263.886461239323</v>
      </c>
      <c r="N23" s="154"/>
    </row>
    <row r="24" spans="1:16">
      <c r="A24" s="145" t="s">
        <v>383</v>
      </c>
      <c r="B24" s="157">
        <v>0</v>
      </c>
      <c r="C24" s="157">
        <f>$B$18</f>
        <v>792.04794161398138</v>
      </c>
      <c r="D24" s="157">
        <f t="shared" ref="D24:M24" si="1">$B$18</f>
        <v>792.04794161398138</v>
      </c>
      <c r="E24" s="157">
        <f t="shared" si="1"/>
        <v>792.04794161398138</v>
      </c>
      <c r="F24" s="157">
        <f t="shared" si="1"/>
        <v>792.04794161398138</v>
      </c>
      <c r="G24" s="157">
        <f t="shared" si="1"/>
        <v>792.04794161398138</v>
      </c>
      <c r="H24" s="157">
        <f t="shared" si="1"/>
        <v>792.04794161398138</v>
      </c>
      <c r="I24" s="157">
        <f t="shared" si="1"/>
        <v>792.04794161398138</v>
      </c>
      <c r="J24" s="157">
        <f t="shared" si="1"/>
        <v>792.04794161398138</v>
      </c>
      <c r="K24" s="157">
        <f t="shared" si="1"/>
        <v>792.04794161398138</v>
      </c>
      <c r="L24" s="157">
        <f t="shared" si="1"/>
        <v>792.04794161398138</v>
      </c>
      <c r="M24" s="157">
        <f t="shared" si="1"/>
        <v>792.04794161398138</v>
      </c>
      <c r="N24" s="158">
        <f>SUM(C24:M24)</f>
        <v>8712.5273577537955</v>
      </c>
    </row>
    <row r="25" spans="1:16">
      <c r="A25" s="145" t="s">
        <v>384</v>
      </c>
      <c r="B25" s="157">
        <v>0</v>
      </c>
      <c r="C25" s="157">
        <f>-IPMT($B$14,C22,$B$15,$B$16,$B$17)</f>
        <v>233.33333333333334</v>
      </c>
      <c r="D25" s="157">
        <f t="shared" ref="D25:M25" si="2">-IPMT($B$14,D22,$B$15,$B$16,$B$17)</f>
        <v>230.07416478502955</v>
      </c>
      <c r="E25" s="157">
        <f t="shared" si="2"/>
        <v>226.795984420194</v>
      </c>
      <c r="F25" s="157">
        <f t="shared" si="2"/>
        <v>223.49868133656358</v>
      </c>
      <c r="G25" s="157">
        <f t="shared" si="2"/>
        <v>220.18214398494533</v>
      </c>
      <c r="H25" s="157">
        <f t="shared" si="2"/>
        <v>216.84626016544263</v>
      </c>
      <c r="I25" s="157">
        <f t="shared" si="2"/>
        <v>213.49091702365942</v>
      </c>
      <c r="J25" s="157">
        <f t="shared" si="2"/>
        <v>210.11600104688259</v>
      </c>
      <c r="K25" s="157">
        <f t="shared" si="2"/>
        <v>206.7213980602412</v>
      </c>
      <c r="L25" s="157">
        <f t="shared" si="2"/>
        <v>203.30699322284437</v>
      </c>
      <c r="M25" s="157">
        <f t="shared" si="2"/>
        <v>199.87267102389606</v>
      </c>
      <c r="N25" s="158">
        <f>SUM(C25:M25)</f>
        <v>2384.2385484030319</v>
      </c>
    </row>
    <row r="26" spans="1:16" ht="15" thickBot="1">
      <c r="A26" s="291" t="s">
        <v>385</v>
      </c>
      <c r="B26" s="292">
        <v>0</v>
      </c>
      <c r="C26" s="292">
        <f>-PPMT($B$14,C22,$B$15,$B$16,$B$17)</f>
        <v>558.71460828064801</v>
      </c>
      <c r="D26" s="292">
        <f t="shared" ref="D26:M26" si="3">-PPMT($B$14,D22,$B$15,$B$16,$B$17)</f>
        <v>561.97377682895183</v>
      </c>
      <c r="E26" s="292">
        <f t="shared" si="3"/>
        <v>565.25195719378735</v>
      </c>
      <c r="F26" s="292">
        <f t="shared" si="3"/>
        <v>568.54926027741772</v>
      </c>
      <c r="G26" s="292">
        <f t="shared" si="3"/>
        <v>571.86579762903614</v>
      </c>
      <c r="H26" s="292">
        <f t="shared" si="3"/>
        <v>575.20168144853881</v>
      </c>
      <c r="I26" s="292">
        <f t="shared" si="3"/>
        <v>578.55702459032193</v>
      </c>
      <c r="J26" s="292">
        <f t="shared" si="3"/>
        <v>581.93194056709876</v>
      </c>
      <c r="K26" s="292">
        <f t="shared" si="3"/>
        <v>585.32654355374018</v>
      </c>
      <c r="L26" s="292">
        <f t="shared" si="3"/>
        <v>588.74094839113707</v>
      </c>
      <c r="M26" s="292">
        <f t="shared" si="3"/>
        <v>592.17527059008535</v>
      </c>
      <c r="N26" s="293">
        <f>SUM(C26:M26)</f>
        <v>6328.2888093507627</v>
      </c>
    </row>
    <row r="27" spans="1:16" ht="15" thickTop="1">
      <c r="A27" s="288" t="s">
        <v>386</v>
      </c>
      <c r="B27" s="289">
        <v>0</v>
      </c>
      <c r="C27" s="290">
        <f>C23-C26</f>
        <v>39441.28539171935</v>
      </c>
      <c r="D27" s="290">
        <f t="shared" ref="D27:M27" si="4">D23-D26</f>
        <v>38879.311614890401</v>
      </c>
      <c r="E27" s="290">
        <f t="shared" si="4"/>
        <v>38314.059657696613</v>
      </c>
      <c r="F27" s="290">
        <f t="shared" si="4"/>
        <v>37745.510397419195</v>
      </c>
      <c r="G27" s="290">
        <f t="shared" si="4"/>
        <v>37173.644599790161</v>
      </c>
      <c r="H27" s="290">
        <f t="shared" si="4"/>
        <v>36598.442918341621</v>
      </c>
      <c r="I27" s="290">
        <f t="shared" si="4"/>
        <v>36019.8858937513</v>
      </c>
      <c r="J27" s="290">
        <f t="shared" si="4"/>
        <v>35437.953953184202</v>
      </c>
      <c r="K27" s="290">
        <f t="shared" si="4"/>
        <v>34852.627409630462</v>
      </c>
      <c r="L27" s="290">
        <f t="shared" si="4"/>
        <v>34263.886461239323</v>
      </c>
      <c r="M27" s="290">
        <f t="shared" si="4"/>
        <v>33671.711190649236</v>
      </c>
      <c r="N27" s="288"/>
    </row>
    <row r="28" spans="1:16">
      <c r="A28" s="147"/>
      <c r="B28" s="159"/>
      <c r="C28" s="159"/>
      <c r="D28" s="159"/>
      <c r="E28" s="159"/>
      <c r="F28" s="159"/>
      <c r="G28" s="159"/>
      <c r="H28" s="159"/>
      <c r="I28" s="159"/>
      <c r="J28" s="159"/>
      <c r="K28" s="159"/>
      <c r="L28" s="159"/>
      <c r="M28" s="159"/>
      <c r="N28" s="147"/>
    </row>
    <row r="29" spans="1:16">
      <c r="A29" s="154" t="s">
        <v>387</v>
      </c>
      <c r="B29" s="287">
        <v>46048</v>
      </c>
      <c r="C29" s="287">
        <v>46079</v>
      </c>
      <c r="D29" s="287">
        <v>46107</v>
      </c>
      <c r="E29" s="287">
        <v>46138</v>
      </c>
      <c r="F29" s="287">
        <v>46168</v>
      </c>
      <c r="G29" s="287">
        <v>46199</v>
      </c>
      <c r="H29" s="287">
        <v>46229</v>
      </c>
      <c r="I29" s="287">
        <v>46260</v>
      </c>
      <c r="J29" s="287">
        <v>46291</v>
      </c>
      <c r="K29" s="287">
        <v>46321</v>
      </c>
      <c r="L29" s="287">
        <v>46352</v>
      </c>
      <c r="M29" s="287">
        <v>46382</v>
      </c>
      <c r="N29" s="154" t="s">
        <v>49</v>
      </c>
    </row>
    <row r="30" spans="1:16">
      <c r="A30" s="145" t="s">
        <v>381</v>
      </c>
      <c r="B30" s="160">
        <v>12</v>
      </c>
      <c r="C30" s="160">
        <v>13</v>
      </c>
      <c r="D30" s="160">
        <v>14</v>
      </c>
      <c r="E30" s="160">
        <v>15</v>
      </c>
      <c r="F30" s="160">
        <v>16</v>
      </c>
      <c r="G30" s="160">
        <v>17</v>
      </c>
      <c r="H30" s="160">
        <v>18</v>
      </c>
      <c r="I30" s="160">
        <v>19</v>
      </c>
      <c r="J30" s="160">
        <v>20</v>
      </c>
      <c r="K30" s="160">
        <v>21</v>
      </c>
      <c r="L30" s="160">
        <v>22</v>
      </c>
      <c r="M30" s="160">
        <v>23</v>
      </c>
      <c r="N30" s="154"/>
    </row>
    <row r="31" spans="1:16">
      <c r="A31" s="145" t="s">
        <v>382</v>
      </c>
      <c r="B31" s="161">
        <f>M27</f>
        <v>33671.711190649236</v>
      </c>
      <c r="C31" s="157">
        <f t="shared" ref="C31:I31" si="5">B35</f>
        <v>33076.081564314038</v>
      </c>
      <c r="D31" s="157">
        <f t="shared" si="5"/>
        <v>32476.97743182522</v>
      </c>
      <c r="E31" s="157">
        <f t="shared" si="5"/>
        <v>31874.378525230219</v>
      </c>
      <c r="F31" s="157">
        <f t="shared" si="5"/>
        <v>31268.264458346748</v>
      </c>
      <c r="G31" s="157">
        <f t="shared" si="5"/>
        <v>30658.614726073123</v>
      </c>
      <c r="H31" s="157">
        <f t="shared" si="5"/>
        <v>30045.408703694568</v>
      </c>
      <c r="I31" s="157">
        <f t="shared" si="5"/>
        <v>29428.625646185472</v>
      </c>
      <c r="J31" s="157">
        <f t="shared" ref="J31:M31" si="6">I35</f>
        <v>28808.244687507573</v>
      </c>
      <c r="K31" s="157">
        <f t="shared" si="6"/>
        <v>28184.244839904051</v>
      </c>
      <c r="L31" s="157">
        <f t="shared" si="6"/>
        <v>27556.60499318951</v>
      </c>
      <c r="M31" s="157">
        <f t="shared" si="6"/>
        <v>26925.303914035801</v>
      </c>
      <c r="N31" s="162"/>
    </row>
    <row r="32" spans="1:16">
      <c r="A32" s="145" t="s">
        <v>383</v>
      </c>
      <c r="B32" s="163">
        <f>$B$18</f>
        <v>792.04794161398138</v>
      </c>
      <c r="C32" s="157">
        <f t="shared" ref="C32:M32" si="7">$B$18</f>
        <v>792.04794161398138</v>
      </c>
      <c r="D32" s="157">
        <f t="shared" si="7"/>
        <v>792.04794161398138</v>
      </c>
      <c r="E32" s="157">
        <f t="shared" si="7"/>
        <v>792.04794161398138</v>
      </c>
      <c r="F32" s="157">
        <f t="shared" si="7"/>
        <v>792.04794161398138</v>
      </c>
      <c r="G32" s="157">
        <f t="shared" si="7"/>
        <v>792.04794161398138</v>
      </c>
      <c r="H32" s="157">
        <f t="shared" si="7"/>
        <v>792.04794161398138</v>
      </c>
      <c r="I32" s="157">
        <f t="shared" si="7"/>
        <v>792.04794161398138</v>
      </c>
      <c r="J32" s="157">
        <f t="shared" si="7"/>
        <v>792.04794161398138</v>
      </c>
      <c r="K32" s="157">
        <f t="shared" si="7"/>
        <v>792.04794161398138</v>
      </c>
      <c r="L32" s="157">
        <f t="shared" si="7"/>
        <v>792.04794161398138</v>
      </c>
      <c r="M32" s="157">
        <f t="shared" si="7"/>
        <v>792.04794161398138</v>
      </c>
      <c r="N32" s="164">
        <f>SUM(B32:M32)</f>
        <v>9504.5752993677761</v>
      </c>
      <c r="P32" s="22"/>
    </row>
    <row r="33" spans="1:16">
      <c r="A33" s="145" t="s">
        <v>384</v>
      </c>
      <c r="B33" s="161">
        <f>-IPMT($B$14,B30,$B$15,$B$16,$B$17)</f>
        <v>196.41831527878722</v>
      </c>
      <c r="C33" s="157">
        <f t="shared" ref="C33:M33" si="8">-IPMT($B$14,C30,$B$15,$B$16,$B$17)</f>
        <v>192.94380912516527</v>
      </c>
      <c r="D33" s="157">
        <f t="shared" si="8"/>
        <v>189.44903501898051</v>
      </c>
      <c r="E33" s="157">
        <f t="shared" si="8"/>
        <v>185.93387473050967</v>
      </c>
      <c r="F33" s="157">
        <f t="shared" si="8"/>
        <v>182.39820934035609</v>
      </c>
      <c r="G33" s="157">
        <f t="shared" si="8"/>
        <v>178.84191923542662</v>
      </c>
      <c r="H33" s="157">
        <f t="shared" si="8"/>
        <v>175.26488410488503</v>
      </c>
      <c r="I33" s="157">
        <f t="shared" si="8"/>
        <v>171.66698293608195</v>
      </c>
      <c r="J33" s="157">
        <f t="shared" si="8"/>
        <v>168.04809401046086</v>
      </c>
      <c r="K33" s="157">
        <f t="shared" si="8"/>
        <v>164.40809489944033</v>
      </c>
      <c r="L33" s="157">
        <f t="shared" si="8"/>
        <v>160.74686246027218</v>
      </c>
      <c r="M33" s="157">
        <f t="shared" si="8"/>
        <v>157.06427283187557</v>
      </c>
      <c r="N33" s="164">
        <f>SUM(B33:M33)</f>
        <v>2123.1843539722413</v>
      </c>
      <c r="P33" s="22"/>
    </row>
    <row r="34" spans="1:16" ht="15" thickBot="1">
      <c r="A34" s="291" t="s">
        <v>385</v>
      </c>
      <c r="B34" s="297">
        <f>-PPMT($B$14,B30,$B$15,$B$16,$B$17)</f>
        <v>595.62962633519419</v>
      </c>
      <c r="C34" s="292">
        <f t="shared" ref="C34:M34" si="9">-PPMT($B$14,C30,$B$15,$B$16,$B$17)</f>
        <v>599.10413248881616</v>
      </c>
      <c r="D34" s="292">
        <f t="shared" si="9"/>
        <v>602.59890659500093</v>
      </c>
      <c r="E34" s="292">
        <f t="shared" si="9"/>
        <v>606.11406688347176</v>
      </c>
      <c r="F34" s="292">
        <f t="shared" si="9"/>
        <v>609.64973227362532</v>
      </c>
      <c r="G34" s="292">
        <f t="shared" si="9"/>
        <v>613.20602237855474</v>
      </c>
      <c r="H34" s="292">
        <f t="shared" si="9"/>
        <v>616.78305750909635</v>
      </c>
      <c r="I34" s="292">
        <f t="shared" si="9"/>
        <v>620.38095867789946</v>
      </c>
      <c r="J34" s="292">
        <f t="shared" si="9"/>
        <v>623.99984760352049</v>
      </c>
      <c r="K34" s="292">
        <f t="shared" si="9"/>
        <v>627.63984671454102</v>
      </c>
      <c r="L34" s="292">
        <f t="shared" si="9"/>
        <v>631.30107915370922</v>
      </c>
      <c r="M34" s="292">
        <f t="shared" si="9"/>
        <v>634.98366878210584</v>
      </c>
      <c r="N34" s="298">
        <f>SUM(B34:M34)</f>
        <v>7381.3909453955357</v>
      </c>
      <c r="P34" s="22"/>
    </row>
    <row r="35" spans="1:16" ht="15" thickTop="1">
      <c r="A35" s="288" t="s">
        <v>386</v>
      </c>
      <c r="B35" s="294">
        <f>B31-B34</f>
        <v>33076.081564314038</v>
      </c>
      <c r="C35" s="289">
        <f t="shared" ref="C35:M35" si="10">C31-C34</f>
        <v>32476.97743182522</v>
      </c>
      <c r="D35" s="289">
        <f t="shared" si="10"/>
        <v>31874.378525230219</v>
      </c>
      <c r="E35" s="289">
        <f t="shared" si="10"/>
        <v>31268.264458346748</v>
      </c>
      <c r="F35" s="289">
        <f t="shared" si="10"/>
        <v>30658.614726073123</v>
      </c>
      <c r="G35" s="289">
        <f t="shared" si="10"/>
        <v>30045.408703694568</v>
      </c>
      <c r="H35" s="295">
        <f t="shared" si="10"/>
        <v>29428.625646185472</v>
      </c>
      <c r="I35" s="295">
        <f t="shared" si="10"/>
        <v>28808.244687507573</v>
      </c>
      <c r="J35" s="295">
        <f t="shared" si="10"/>
        <v>28184.244839904051</v>
      </c>
      <c r="K35" s="295">
        <f t="shared" si="10"/>
        <v>27556.60499318951</v>
      </c>
      <c r="L35" s="295">
        <f t="shared" si="10"/>
        <v>26925.303914035801</v>
      </c>
      <c r="M35" s="295">
        <f t="shared" si="10"/>
        <v>26290.320245253697</v>
      </c>
      <c r="N35" s="296"/>
    </row>
    <row r="38" spans="1:16">
      <c r="A38" s="148" t="s">
        <v>126</v>
      </c>
    </row>
    <row r="39" spans="1:16">
      <c r="A39" s="389" t="s">
        <v>388</v>
      </c>
    </row>
    <row r="40" spans="1:16">
      <c r="A40" s="389"/>
    </row>
  </sheetData>
  <mergeCells count="3">
    <mergeCell ref="A1:E1"/>
    <mergeCell ref="A12:B12"/>
    <mergeCell ref="A39:A40"/>
  </mergeCells>
  <pageMargins left="0.38" right="0.25" top="0.75" bottom="0.75" header="0.3" footer="0.3"/>
  <pageSetup scale="82" orientation="landscape" r:id="rId1"/>
  <headerFooter>
    <oddFooter>&amp;LPrepared by: Miraj Sangani&amp;CFinancing     &amp;R&amp;P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9FF6-0A21-4A13-A4E7-2970D55505C7}">
  <sheetPr>
    <tabColor theme="7" tint="0.39997558519241921"/>
    <pageSetUpPr fitToPage="1"/>
  </sheetPr>
  <dimension ref="A1:R21"/>
  <sheetViews>
    <sheetView zoomScaleNormal="100" zoomScalePageLayoutView="55" workbookViewId="0">
      <selection activeCell="M15" sqref="M15"/>
    </sheetView>
  </sheetViews>
  <sheetFormatPr defaultRowHeight="14.5"/>
  <cols>
    <col min="1" max="1" width="22.7265625" bestFit="1" customWidth="1"/>
    <col min="2" max="2" width="10.1796875" bestFit="1" customWidth="1"/>
    <col min="3" max="3" width="9.54296875" bestFit="1" customWidth="1"/>
    <col min="4" max="4" width="11.54296875" customWidth="1"/>
    <col min="5" max="5" width="12" customWidth="1"/>
    <col min="6" max="6" width="9.81640625" bestFit="1" customWidth="1"/>
    <col min="7" max="10" width="12" bestFit="1" customWidth="1"/>
    <col min="11" max="14" width="9.54296875" bestFit="1" customWidth="1"/>
    <col min="15" max="15" width="9.7265625" bestFit="1" customWidth="1"/>
    <col min="16" max="17" width="9.54296875" bestFit="1" customWidth="1"/>
    <col min="18" max="18" width="11.26953125" bestFit="1" customWidth="1"/>
  </cols>
  <sheetData>
    <row r="1" spans="1:18" ht="14.5" customHeight="1" thickBot="1">
      <c r="A1" s="390" t="s">
        <v>389</v>
      </c>
      <c r="B1" s="391"/>
      <c r="C1" s="391"/>
      <c r="D1" s="391"/>
      <c r="E1" s="391"/>
      <c r="F1" s="391"/>
      <c r="G1" s="392"/>
      <c r="H1" s="17"/>
    </row>
    <row r="2" spans="1:18" ht="15" customHeight="1">
      <c r="A2" s="17"/>
      <c r="B2" s="17"/>
      <c r="C2" s="17"/>
      <c r="D2" s="17"/>
      <c r="E2" s="17"/>
      <c r="F2" s="17"/>
      <c r="G2" s="17"/>
      <c r="H2" s="17"/>
    </row>
    <row r="3" spans="1:18">
      <c r="H3" s="29"/>
      <c r="I3" s="30"/>
      <c r="J3" s="30"/>
      <c r="K3" s="30"/>
      <c r="L3" s="30"/>
      <c r="M3" s="30"/>
      <c r="N3" s="30"/>
      <c r="O3" s="30"/>
      <c r="P3" s="30"/>
      <c r="Q3" s="30"/>
      <c r="R3" s="30"/>
    </row>
    <row r="4" spans="1:18">
      <c r="H4" s="31"/>
      <c r="I4" s="32"/>
      <c r="J4" s="32"/>
      <c r="K4" s="32"/>
      <c r="L4" s="32"/>
      <c r="M4" s="32"/>
      <c r="N4" s="32"/>
      <c r="O4" s="32"/>
      <c r="P4" s="32"/>
      <c r="Q4" s="32"/>
      <c r="R4" s="32"/>
    </row>
    <row r="5" spans="1:18">
      <c r="A5" s="21" t="s">
        <v>46</v>
      </c>
      <c r="B5" s="165">
        <v>46047</v>
      </c>
      <c r="C5" s="165">
        <v>46078</v>
      </c>
      <c r="D5" s="165">
        <v>46106</v>
      </c>
      <c r="E5" s="165">
        <v>46137</v>
      </c>
      <c r="F5" s="165">
        <v>46167</v>
      </c>
      <c r="G5" s="165">
        <v>46198</v>
      </c>
      <c r="H5" s="165">
        <v>46228</v>
      </c>
      <c r="I5" s="165">
        <v>46259</v>
      </c>
      <c r="J5" s="165">
        <v>46290</v>
      </c>
      <c r="K5" s="165">
        <v>46320</v>
      </c>
      <c r="L5" s="165">
        <v>46351</v>
      </c>
      <c r="M5" s="165">
        <v>46381</v>
      </c>
      <c r="N5" s="21" t="s">
        <v>82</v>
      </c>
    </row>
    <row r="6" spans="1:18">
      <c r="A6" s="1" t="s">
        <v>138</v>
      </c>
      <c r="B6" s="113">
        <v>325</v>
      </c>
      <c r="C6" s="113">
        <v>325</v>
      </c>
      <c r="D6" s="113">
        <v>325</v>
      </c>
      <c r="E6" s="113">
        <v>325</v>
      </c>
      <c r="F6" s="113">
        <v>325</v>
      </c>
      <c r="G6" s="113">
        <v>325</v>
      </c>
      <c r="H6" s="113">
        <v>325</v>
      </c>
      <c r="I6" s="113">
        <v>325</v>
      </c>
      <c r="J6" s="113">
        <v>325</v>
      </c>
      <c r="K6" s="113">
        <v>325</v>
      </c>
      <c r="L6" s="113">
        <v>325</v>
      </c>
      <c r="M6" s="113">
        <v>325</v>
      </c>
      <c r="N6" s="23">
        <f>SUM(B6:M6)</f>
        <v>3900</v>
      </c>
    </row>
    <row r="7" spans="1:18">
      <c r="A7" s="1" t="s">
        <v>139</v>
      </c>
      <c r="B7" s="113">
        <v>350</v>
      </c>
      <c r="C7" s="113">
        <v>350</v>
      </c>
      <c r="D7" s="113">
        <v>350</v>
      </c>
      <c r="E7" s="113">
        <v>350</v>
      </c>
      <c r="F7" s="113">
        <v>350</v>
      </c>
      <c r="G7" s="113">
        <v>350</v>
      </c>
      <c r="H7" s="113">
        <v>350</v>
      </c>
      <c r="I7" s="113">
        <v>350</v>
      </c>
      <c r="J7" s="113">
        <v>350</v>
      </c>
      <c r="K7" s="113">
        <v>350</v>
      </c>
      <c r="L7" s="113">
        <v>350</v>
      </c>
      <c r="M7" s="113">
        <v>350</v>
      </c>
      <c r="N7" s="23">
        <f t="shared" ref="N7:N8" si="0">SUM(B7:M7)</f>
        <v>4200</v>
      </c>
    </row>
    <row r="8" spans="1:18">
      <c r="A8" s="1" t="s">
        <v>142</v>
      </c>
      <c r="B8" s="113">
        <v>300</v>
      </c>
      <c r="C8" s="113">
        <v>300</v>
      </c>
      <c r="D8" s="113">
        <v>300</v>
      </c>
      <c r="E8" s="113">
        <v>300</v>
      </c>
      <c r="F8" s="113">
        <v>300</v>
      </c>
      <c r="G8" s="113">
        <v>300</v>
      </c>
      <c r="H8" s="113">
        <v>300</v>
      </c>
      <c r="I8" s="113">
        <v>300</v>
      </c>
      <c r="J8" s="113">
        <v>300</v>
      </c>
      <c r="K8" s="113">
        <v>300</v>
      </c>
      <c r="L8" s="113">
        <v>300</v>
      </c>
      <c r="M8" s="113">
        <v>300</v>
      </c>
      <c r="N8" s="23">
        <f t="shared" si="0"/>
        <v>3600</v>
      </c>
    </row>
    <row r="9" spans="1:18">
      <c r="A9" s="1" t="s">
        <v>145</v>
      </c>
      <c r="B9" s="113">
        <v>40</v>
      </c>
      <c r="C9" s="113">
        <v>40</v>
      </c>
      <c r="D9" s="113">
        <v>40</v>
      </c>
      <c r="E9" s="113">
        <v>40</v>
      </c>
      <c r="F9" s="113">
        <v>40</v>
      </c>
      <c r="G9" s="113">
        <v>40</v>
      </c>
      <c r="H9" s="113">
        <v>40</v>
      </c>
      <c r="I9" s="113">
        <v>40</v>
      </c>
      <c r="J9" s="113">
        <v>40</v>
      </c>
      <c r="K9" s="113">
        <v>40</v>
      </c>
      <c r="L9" s="113">
        <v>40</v>
      </c>
      <c r="M9" s="113">
        <v>40</v>
      </c>
      <c r="N9" s="23">
        <f>SUM(B9:M9)</f>
        <v>480</v>
      </c>
    </row>
    <row r="10" spans="1:18">
      <c r="A10" s="1" t="s">
        <v>146</v>
      </c>
      <c r="B10" s="113">
        <v>100</v>
      </c>
      <c r="C10" s="113">
        <v>100</v>
      </c>
      <c r="D10" s="113">
        <v>100</v>
      </c>
      <c r="E10" s="113">
        <v>100</v>
      </c>
      <c r="F10" s="113">
        <v>100</v>
      </c>
      <c r="G10" s="113">
        <v>100</v>
      </c>
      <c r="H10" s="113">
        <v>100</v>
      </c>
      <c r="I10" s="113">
        <v>100</v>
      </c>
      <c r="J10" s="113">
        <v>100</v>
      </c>
      <c r="K10" s="113">
        <v>100</v>
      </c>
      <c r="L10" s="113">
        <v>100</v>
      </c>
      <c r="M10" s="113">
        <v>100</v>
      </c>
      <c r="N10" s="23">
        <f>SUM(B10:M10)</f>
        <v>1200</v>
      </c>
    </row>
    <row r="11" spans="1:18">
      <c r="A11" s="21" t="s">
        <v>390</v>
      </c>
      <c r="B11" s="23">
        <f>SUM(B6:B10)</f>
        <v>1115</v>
      </c>
      <c r="C11" s="23">
        <f t="shared" ref="C11:M11" si="1">SUM(C6:C10)</f>
        <v>1115</v>
      </c>
      <c r="D11" s="23">
        <f t="shared" si="1"/>
        <v>1115</v>
      </c>
      <c r="E11" s="23">
        <f t="shared" si="1"/>
        <v>1115</v>
      </c>
      <c r="F11" s="23">
        <f t="shared" si="1"/>
        <v>1115</v>
      </c>
      <c r="G11" s="23">
        <f t="shared" si="1"/>
        <v>1115</v>
      </c>
      <c r="H11" s="23">
        <f t="shared" si="1"/>
        <v>1115</v>
      </c>
      <c r="I11" s="23">
        <f t="shared" si="1"/>
        <v>1115</v>
      </c>
      <c r="J11" s="23">
        <f t="shared" si="1"/>
        <v>1115</v>
      </c>
      <c r="K11" s="23">
        <f t="shared" si="1"/>
        <v>1115</v>
      </c>
      <c r="L11" s="23">
        <f t="shared" si="1"/>
        <v>1115</v>
      </c>
      <c r="M11" s="23">
        <f t="shared" si="1"/>
        <v>1115</v>
      </c>
      <c r="N11" s="23">
        <f>SUM(B11:M11)</f>
        <v>13380</v>
      </c>
    </row>
    <row r="14" spans="1:18">
      <c r="A14" s="21" t="s">
        <v>46</v>
      </c>
      <c r="B14" s="21" t="s">
        <v>163</v>
      </c>
      <c r="C14" s="21" t="s">
        <v>391</v>
      </c>
    </row>
    <row r="15" spans="1:18">
      <c r="A15" s="1" t="s">
        <v>392</v>
      </c>
      <c r="B15" s="113">
        <v>10306</v>
      </c>
      <c r="C15" s="1" t="s">
        <v>393</v>
      </c>
    </row>
    <row r="16" spans="1:18">
      <c r="A16" s="1" t="s">
        <v>394</v>
      </c>
      <c r="B16" s="113">
        <v>7600</v>
      </c>
      <c r="C16" s="1" t="s">
        <v>393</v>
      </c>
    </row>
    <row r="17" spans="1:3">
      <c r="A17" s="21" t="s">
        <v>49</v>
      </c>
      <c r="B17" s="23">
        <f>SUM(B15:B16)</f>
        <v>17906</v>
      </c>
      <c r="C17" s="1"/>
    </row>
    <row r="19" spans="1:3">
      <c r="A19" s="1" t="s">
        <v>395</v>
      </c>
      <c r="B19" s="113">
        <f>N11</f>
        <v>13380</v>
      </c>
    </row>
    <row r="21" spans="1:3">
      <c r="A21" s="1" t="s">
        <v>396</v>
      </c>
      <c r="B21" s="113">
        <f>B17</f>
        <v>17906</v>
      </c>
    </row>
  </sheetData>
  <mergeCells count="1">
    <mergeCell ref="A1:G1"/>
  </mergeCells>
  <phoneticPr fontId="7" type="noConversion"/>
  <conditionalFormatting sqref="A1">
    <cfRule type="colorScale" priority="1">
      <colorScale>
        <cfvo type="min"/>
        <cfvo type="percentile" val="50"/>
        <cfvo type="max"/>
        <color rgb="FFF8696B"/>
        <color rgb="FFFFEB84"/>
        <color rgb="FF63BE7B"/>
      </colorScale>
    </cfRule>
  </conditionalFormatting>
  <pageMargins left="0.38" right="0.25" top="0.75" bottom="0.75" header="0.3" footer="0.3"/>
  <pageSetup scale="81" orientation="landscape" r:id="rId1"/>
  <headerFooter>
    <oddFooter>&amp;LPrepared by: Miraj Sangani&amp;COther Expenses       &amp;R&amp;P</oddFooter>
  </headerFooter>
  <ignoredErrors>
    <ignoredError sqref="B11"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B5B-D1F3-453C-8D2A-599EE1F1ED69}">
  <sheetPr>
    <tabColor theme="0" tint="-0.499984740745262"/>
    <pageSetUpPr fitToPage="1"/>
  </sheetPr>
  <dimension ref="A1:I87"/>
  <sheetViews>
    <sheetView topLeftCell="A24" zoomScaleNormal="100" zoomScalePageLayoutView="55" workbookViewId="0">
      <selection activeCell="E26" sqref="E26"/>
    </sheetView>
  </sheetViews>
  <sheetFormatPr defaultRowHeight="14.5"/>
  <cols>
    <col min="1" max="1" width="43.453125" customWidth="1"/>
    <col min="2" max="7" width="12.54296875" customWidth="1"/>
  </cols>
  <sheetData>
    <row r="1" spans="1:7" ht="15" thickBot="1">
      <c r="A1" s="399" t="s">
        <v>397</v>
      </c>
      <c r="B1" s="400"/>
      <c r="C1" s="400"/>
      <c r="D1" s="400"/>
      <c r="E1" s="400"/>
      <c r="F1" s="400"/>
      <c r="G1" s="401"/>
    </row>
    <row r="3" spans="1:7" ht="52.5">
      <c r="A3" s="33"/>
      <c r="B3" s="48" t="s">
        <v>398</v>
      </c>
      <c r="C3" s="48" t="s">
        <v>399</v>
      </c>
      <c r="D3" s="48" t="s">
        <v>400</v>
      </c>
      <c r="E3" s="48" t="s">
        <v>401</v>
      </c>
      <c r="F3" s="48" t="s">
        <v>402</v>
      </c>
      <c r="G3" s="48" t="s">
        <v>403</v>
      </c>
    </row>
    <row r="4" spans="1:7" ht="14.5" customHeight="1">
      <c r="A4" s="51" t="s">
        <v>404</v>
      </c>
      <c r="B4" s="34">
        <v>4088</v>
      </c>
      <c r="C4" s="34" t="s">
        <v>405</v>
      </c>
      <c r="D4" s="34" t="s">
        <v>405</v>
      </c>
      <c r="E4" s="34" t="s">
        <v>405</v>
      </c>
      <c r="F4" s="34" t="s">
        <v>405</v>
      </c>
      <c r="G4" s="34" t="s">
        <v>405</v>
      </c>
    </row>
    <row r="5" spans="1:7" ht="14.5" customHeight="1">
      <c r="A5" s="51" t="s">
        <v>406</v>
      </c>
      <c r="B5" s="34" t="s">
        <v>405</v>
      </c>
      <c r="C5" s="34" t="s">
        <v>405</v>
      </c>
      <c r="D5" s="34" t="s">
        <v>405</v>
      </c>
      <c r="E5" s="34" t="s">
        <v>405</v>
      </c>
      <c r="F5" s="34" t="s">
        <v>405</v>
      </c>
      <c r="G5" s="34" t="s">
        <v>405</v>
      </c>
    </row>
    <row r="6" spans="1:7" ht="14.5" customHeight="1">
      <c r="A6" s="51" t="s">
        <v>407</v>
      </c>
      <c r="B6" s="34">
        <v>30</v>
      </c>
      <c r="C6" s="34">
        <v>30</v>
      </c>
      <c r="D6" s="34">
        <v>46</v>
      </c>
      <c r="E6" s="34">
        <v>78</v>
      </c>
      <c r="F6" s="34">
        <v>190</v>
      </c>
      <c r="G6" s="34" t="s">
        <v>405</v>
      </c>
    </row>
    <row r="7" spans="1:7" ht="14.5" customHeight="1">
      <c r="A7" s="51" t="s">
        <v>408</v>
      </c>
      <c r="B7" s="43">
        <v>5000</v>
      </c>
      <c r="C7" s="43">
        <v>46</v>
      </c>
      <c r="D7" s="43">
        <v>78</v>
      </c>
      <c r="E7" s="43">
        <v>190</v>
      </c>
      <c r="F7" s="43">
        <v>5000</v>
      </c>
      <c r="G7" s="43" t="s">
        <v>405</v>
      </c>
    </row>
    <row r="8" spans="1:7" ht="14.5" customHeight="1">
      <c r="A8" s="52" t="s">
        <v>405</v>
      </c>
      <c r="B8" s="42" t="s">
        <v>405</v>
      </c>
      <c r="C8" s="42" t="s">
        <v>405</v>
      </c>
      <c r="D8" s="42" t="s">
        <v>405</v>
      </c>
      <c r="E8" s="42" t="s">
        <v>405</v>
      </c>
      <c r="F8" s="42" t="s">
        <v>405</v>
      </c>
      <c r="G8" s="42" t="s">
        <v>405</v>
      </c>
    </row>
    <row r="9" spans="1:7">
      <c r="A9" s="53" t="s">
        <v>409</v>
      </c>
      <c r="B9" s="402" t="s">
        <v>410</v>
      </c>
      <c r="C9" s="403"/>
      <c r="D9" s="403"/>
      <c r="E9" s="403"/>
      <c r="F9" s="403"/>
      <c r="G9" s="404"/>
    </row>
    <row r="10" spans="1:7">
      <c r="A10" s="55" t="s">
        <v>411</v>
      </c>
      <c r="B10" s="44">
        <v>100</v>
      </c>
      <c r="C10" s="44">
        <v>100</v>
      </c>
      <c r="D10" s="44">
        <v>100</v>
      </c>
      <c r="E10" s="44">
        <v>100</v>
      </c>
      <c r="F10" s="44">
        <v>100</v>
      </c>
      <c r="G10" s="44">
        <v>100</v>
      </c>
    </row>
    <row r="11" spans="1:7">
      <c r="A11" s="51" t="s">
        <v>412</v>
      </c>
      <c r="B11" s="41" t="s">
        <v>413</v>
      </c>
      <c r="C11" s="41" t="s">
        <v>413</v>
      </c>
      <c r="D11" s="41" t="s">
        <v>413</v>
      </c>
      <c r="E11" s="41" t="s">
        <v>413</v>
      </c>
      <c r="F11" s="41" t="s">
        <v>413</v>
      </c>
      <c r="G11" s="41" t="s">
        <v>413</v>
      </c>
    </row>
    <row r="12" spans="1:7">
      <c r="A12" s="51" t="s">
        <v>414</v>
      </c>
      <c r="B12" s="41" t="s">
        <v>413</v>
      </c>
      <c r="C12" s="41" t="s">
        <v>413</v>
      </c>
      <c r="D12" s="41" t="s">
        <v>413</v>
      </c>
      <c r="E12" s="41" t="s">
        <v>413</v>
      </c>
      <c r="F12" s="41" t="s">
        <v>413</v>
      </c>
      <c r="G12" s="41" t="s">
        <v>413</v>
      </c>
    </row>
    <row r="13" spans="1:7" ht="15.5">
      <c r="A13" s="56" t="s">
        <v>177</v>
      </c>
      <c r="B13" s="44" t="s">
        <v>415</v>
      </c>
      <c r="C13" s="44">
        <v>7.8000001907348633</v>
      </c>
      <c r="D13" s="44">
        <v>9.8999996185302734</v>
      </c>
      <c r="E13" s="44">
        <v>15.399999618530273</v>
      </c>
      <c r="F13" s="44">
        <v>21.799999237060547</v>
      </c>
      <c r="G13" s="44">
        <v>54.5</v>
      </c>
    </row>
    <row r="14" spans="1:7" ht="15.5">
      <c r="A14" s="51" t="s">
        <v>416</v>
      </c>
      <c r="B14" s="40" t="s">
        <v>417</v>
      </c>
      <c r="C14" s="40">
        <v>0.30000001192092896</v>
      </c>
      <c r="D14" s="40">
        <v>0.80000001192092896</v>
      </c>
      <c r="E14" s="40">
        <v>4.5</v>
      </c>
      <c r="F14" s="40">
        <v>8.3999996185302734</v>
      </c>
      <c r="G14" s="40">
        <v>10.199999809265137</v>
      </c>
    </row>
    <row r="15" spans="1:7" ht="15.5">
      <c r="A15" s="51" t="s">
        <v>418</v>
      </c>
      <c r="B15" s="40" t="s">
        <v>419</v>
      </c>
      <c r="C15" s="40">
        <v>7.5</v>
      </c>
      <c r="D15" s="40">
        <v>9.1999998092651367</v>
      </c>
      <c r="E15" s="40">
        <v>11</v>
      </c>
      <c r="F15" s="40">
        <v>13.399999618530273</v>
      </c>
      <c r="G15" s="40">
        <v>53.5</v>
      </c>
    </row>
    <row r="16" spans="1:7" ht="15.5">
      <c r="A16" s="51" t="s">
        <v>420</v>
      </c>
      <c r="B16" s="40" t="s">
        <v>421</v>
      </c>
      <c r="C16" s="40">
        <v>0.5</v>
      </c>
      <c r="D16" s="40">
        <v>0.80000001192092896</v>
      </c>
      <c r="E16" s="40">
        <v>0.60000002384185791</v>
      </c>
      <c r="F16" s="40">
        <v>0.60000002384185791</v>
      </c>
      <c r="G16" s="40">
        <v>6.8000001907348633</v>
      </c>
    </row>
    <row r="17" spans="1:7" ht="15.5">
      <c r="A17" s="51" t="s">
        <v>422</v>
      </c>
      <c r="B17" s="40" t="s">
        <v>421</v>
      </c>
      <c r="C17" s="40">
        <v>0.40000000596046448</v>
      </c>
      <c r="D17" s="40">
        <v>0.89999997615814209</v>
      </c>
      <c r="E17" s="40">
        <v>0.80000001192092896</v>
      </c>
      <c r="F17" s="40">
        <v>0.60000002384185791</v>
      </c>
      <c r="G17" s="40">
        <v>6.8000001907348633</v>
      </c>
    </row>
    <row r="18" spans="1:7" ht="15.5">
      <c r="A18" s="56" t="s">
        <v>423</v>
      </c>
      <c r="B18" s="44" t="s">
        <v>424</v>
      </c>
      <c r="C18" s="44">
        <v>41.400001525878906</v>
      </c>
      <c r="D18" s="44">
        <v>47.599998474121094</v>
      </c>
      <c r="E18" s="44">
        <v>58.799999237060547</v>
      </c>
      <c r="F18" s="44">
        <v>67.800003051757813</v>
      </c>
      <c r="G18" s="44">
        <v>97.800003051757813</v>
      </c>
    </row>
    <row r="19" spans="1:7" ht="15.5">
      <c r="A19" s="51" t="s">
        <v>425</v>
      </c>
      <c r="B19" s="40" t="s">
        <v>426</v>
      </c>
      <c r="C19" s="40">
        <v>2.5</v>
      </c>
      <c r="D19" s="40">
        <v>7.5</v>
      </c>
      <c r="E19" s="40">
        <v>20.200000762939453</v>
      </c>
      <c r="F19" s="40">
        <v>35.5</v>
      </c>
      <c r="G19" s="40">
        <v>41.900001525878906</v>
      </c>
    </row>
    <row r="20" spans="1:7" ht="15.5">
      <c r="A20" s="51" t="s">
        <v>181</v>
      </c>
      <c r="B20" s="40" t="s">
        <v>427</v>
      </c>
      <c r="C20" s="40">
        <v>3</v>
      </c>
      <c r="D20" s="40">
        <v>3</v>
      </c>
      <c r="E20" s="40">
        <v>2.9000000953674316</v>
      </c>
      <c r="F20" s="40">
        <v>3.0999999046325684</v>
      </c>
      <c r="G20" s="40">
        <v>65.5</v>
      </c>
    </row>
    <row r="21" spans="1:7" ht="15.5">
      <c r="A21" s="51" t="s">
        <v>183</v>
      </c>
      <c r="B21" s="40" t="s">
        <v>428</v>
      </c>
      <c r="C21" s="40">
        <v>1.6000000238418579</v>
      </c>
      <c r="D21" s="40">
        <v>1.8999999761581421</v>
      </c>
      <c r="E21" s="40">
        <v>2.0999999046325684</v>
      </c>
      <c r="F21" s="40">
        <v>2.0999999046325684</v>
      </c>
      <c r="G21" s="40">
        <v>60.599998474121094</v>
      </c>
    </row>
    <row r="22" spans="1:7" ht="15.5">
      <c r="A22" s="51" t="s">
        <v>184</v>
      </c>
      <c r="B22" s="40" t="s">
        <v>429</v>
      </c>
      <c r="C22" s="40">
        <v>3.0999999046325684</v>
      </c>
      <c r="D22" s="40">
        <v>3.0999999046325684</v>
      </c>
      <c r="E22" s="40">
        <v>3.2000000476837158</v>
      </c>
      <c r="F22" s="40">
        <v>2.4000000953674316</v>
      </c>
      <c r="G22" s="40">
        <v>81.900001525878906</v>
      </c>
    </row>
    <row r="23" spans="1:7" ht="15.5">
      <c r="A23" s="51" t="s">
        <v>430</v>
      </c>
      <c r="B23" s="40" t="s">
        <v>431</v>
      </c>
      <c r="C23" s="40">
        <v>8.3999996185302734</v>
      </c>
      <c r="D23" s="40">
        <v>8</v>
      </c>
      <c r="E23" s="40">
        <v>8.8000001907348633</v>
      </c>
      <c r="F23" s="40">
        <v>7.0999999046325684</v>
      </c>
      <c r="G23" s="40">
        <v>55.700000762939453</v>
      </c>
    </row>
    <row r="24" spans="1:7" ht="15.5">
      <c r="A24" s="51" t="s">
        <v>188</v>
      </c>
      <c r="B24" s="40" t="s">
        <v>432</v>
      </c>
      <c r="C24" s="40">
        <v>0.69999998807907104</v>
      </c>
      <c r="D24" s="40">
        <v>0.89999997615814209</v>
      </c>
      <c r="E24" s="40">
        <v>1.2000000476837158</v>
      </c>
      <c r="F24" s="40">
        <v>1.1000000238418579</v>
      </c>
      <c r="G24" s="40">
        <v>45.200000762939453</v>
      </c>
    </row>
    <row r="25" spans="1:7" ht="15.5">
      <c r="A25" s="51" t="s">
        <v>433</v>
      </c>
      <c r="B25" s="40" t="s">
        <v>434</v>
      </c>
      <c r="C25" s="40">
        <v>1.7000000476837158</v>
      </c>
      <c r="D25" s="40">
        <v>2.5999999046325684</v>
      </c>
      <c r="E25" s="40">
        <v>2.5</v>
      </c>
      <c r="F25" s="40">
        <v>2.2999999523162842</v>
      </c>
      <c r="G25" s="40">
        <v>80.900001525878906</v>
      </c>
    </row>
    <row r="26" spans="1:7" ht="15.5">
      <c r="A26" s="51" t="s">
        <v>190</v>
      </c>
      <c r="B26" s="40" t="s">
        <v>435</v>
      </c>
      <c r="C26" s="40">
        <v>1</v>
      </c>
      <c r="D26" s="40">
        <v>0.89999997615814209</v>
      </c>
      <c r="E26" s="40">
        <v>1.5</v>
      </c>
      <c r="F26" s="40">
        <v>2.2000000476837158</v>
      </c>
      <c r="G26" s="40">
        <v>67.699996948242188</v>
      </c>
    </row>
    <row r="27" spans="1:7" ht="15.5">
      <c r="A27" s="51" t="s">
        <v>185</v>
      </c>
      <c r="B27" s="40" t="s">
        <v>421</v>
      </c>
      <c r="C27" s="40">
        <v>0.10000000149011612</v>
      </c>
      <c r="D27" s="40">
        <v>0.10000000149011612</v>
      </c>
      <c r="E27" s="40">
        <v>0.10000000149011612</v>
      </c>
      <c r="F27" s="40">
        <v>0.80000001192092896</v>
      </c>
      <c r="G27" s="40">
        <v>14.5</v>
      </c>
    </row>
    <row r="28" spans="1:7" ht="15.5">
      <c r="A28" s="51" t="s">
        <v>186</v>
      </c>
      <c r="B28" s="40" t="s">
        <v>432</v>
      </c>
      <c r="C28" s="40">
        <v>1.7000000476837158</v>
      </c>
      <c r="D28" s="40">
        <v>1.7000000476837158</v>
      </c>
      <c r="E28" s="40">
        <v>1.5</v>
      </c>
      <c r="F28" s="40">
        <v>0.89999997615814209</v>
      </c>
      <c r="G28" s="40">
        <v>74.400001525878906</v>
      </c>
    </row>
    <row r="29" spans="1:7" ht="15.5">
      <c r="A29" s="51" t="s">
        <v>436</v>
      </c>
      <c r="B29" s="40" t="s">
        <v>437</v>
      </c>
      <c r="C29" s="40">
        <v>17.600000381469727</v>
      </c>
      <c r="D29" s="40">
        <v>17.799999237060547</v>
      </c>
      <c r="E29" s="40">
        <v>14.800000190734863</v>
      </c>
      <c r="F29" s="40">
        <v>10.199999809265137</v>
      </c>
      <c r="G29" s="40">
        <v>96.599998474121094</v>
      </c>
    </row>
    <row r="30" spans="1:7" ht="15.5">
      <c r="A30" s="56" t="s">
        <v>192</v>
      </c>
      <c r="B30" s="44" t="s">
        <v>438</v>
      </c>
      <c r="C30" s="44">
        <v>49.200000762939453</v>
      </c>
      <c r="D30" s="44">
        <v>57.5</v>
      </c>
      <c r="E30" s="44">
        <v>74.199996948242188</v>
      </c>
      <c r="F30" s="44">
        <v>89.699996948242188</v>
      </c>
      <c r="G30" s="44">
        <v>97.900001525878906</v>
      </c>
    </row>
    <row r="31" spans="1:7" ht="15.5">
      <c r="A31" s="56" t="s">
        <v>194</v>
      </c>
      <c r="B31" s="44" t="s">
        <v>439</v>
      </c>
      <c r="C31" s="44">
        <v>50.799999237060547</v>
      </c>
      <c r="D31" s="44">
        <v>42.5</v>
      </c>
      <c r="E31" s="44">
        <v>25.799999237060547</v>
      </c>
      <c r="F31" s="44">
        <v>10.300000190734863</v>
      </c>
      <c r="G31" s="44">
        <v>100</v>
      </c>
    </row>
    <row r="32" spans="1:7">
      <c r="A32" s="50"/>
      <c r="B32" s="37"/>
      <c r="C32" s="37"/>
      <c r="D32" s="37"/>
      <c r="E32" s="37"/>
      <c r="F32" s="37"/>
      <c r="G32" s="37"/>
    </row>
    <row r="33" spans="1:7">
      <c r="A33" s="50" t="s">
        <v>405</v>
      </c>
      <c r="B33" s="33" t="s">
        <v>405</v>
      </c>
      <c r="C33" s="33" t="s">
        <v>405</v>
      </c>
      <c r="D33" s="33" t="s">
        <v>405</v>
      </c>
      <c r="E33" s="33" t="s">
        <v>405</v>
      </c>
      <c r="F33" s="33" t="s">
        <v>405</v>
      </c>
      <c r="G33" s="37" t="s">
        <v>405</v>
      </c>
    </row>
    <row r="34" spans="1:7">
      <c r="A34" s="54" t="s">
        <v>440</v>
      </c>
      <c r="B34" s="405" t="s">
        <v>441</v>
      </c>
      <c r="C34" s="405"/>
      <c r="D34" s="405"/>
      <c r="E34" s="405"/>
      <c r="F34" s="405"/>
      <c r="G34" s="33"/>
    </row>
    <row r="35" spans="1:7">
      <c r="A35" s="51" t="s">
        <v>442</v>
      </c>
      <c r="B35" s="40">
        <v>16.799999237060547</v>
      </c>
      <c r="C35" s="40">
        <v>77.900001525878906</v>
      </c>
      <c r="D35" s="40">
        <v>46.400001525878906</v>
      </c>
      <c r="E35" s="40">
        <v>22.5</v>
      </c>
      <c r="F35" s="40">
        <v>10.300000190734863</v>
      </c>
      <c r="G35" s="33"/>
    </row>
    <row r="36" spans="1:7">
      <c r="A36" s="51" t="s">
        <v>443</v>
      </c>
      <c r="B36" s="40">
        <v>80.800003051757813</v>
      </c>
      <c r="C36" s="40">
        <v>92.199996948242188</v>
      </c>
      <c r="D36" s="40">
        <v>90.099998474121094</v>
      </c>
      <c r="E36" s="40">
        <v>84.599998474121094</v>
      </c>
      <c r="F36" s="40">
        <v>78.199996948242188</v>
      </c>
      <c r="G36" s="33"/>
    </row>
    <row r="37" spans="1:7">
      <c r="A37" s="50" t="s">
        <v>405</v>
      </c>
      <c r="B37" s="33" t="s">
        <v>405</v>
      </c>
      <c r="C37" s="33" t="s">
        <v>405</v>
      </c>
      <c r="D37" s="33" t="s">
        <v>405</v>
      </c>
      <c r="E37" s="33" t="s">
        <v>405</v>
      </c>
      <c r="F37" s="33" t="s">
        <v>405</v>
      </c>
      <c r="G37" s="33"/>
    </row>
    <row r="38" spans="1:7" ht="15" customHeight="1">
      <c r="A38" s="55" t="s">
        <v>444</v>
      </c>
      <c r="B38" s="402" t="s">
        <v>445</v>
      </c>
      <c r="C38" s="403"/>
      <c r="D38" s="403"/>
      <c r="E38" s="403"/>
      <c r="F38" s="404"/>
      <c r="G38" s="33"/>
    </row>
    <row r="39" spans="1:7">
      <c r="A39" s="56" t="s">
        <v>446</v>
      </c>
      <c r="B39" s="34" t="s">
        <v>405</v>
      </c>
      <c r="C39" s="34" t="s">
        <v>405</v>
      </c>
      <c r="D39" s="34" t="s">
        <v>405</v>
      </c>
      <c r="E39" s="34" t="s">
        <v>405</v>
      </c>
      <c r="F39" s="34" t="s">
        <v>405</v>
      </c>
      <c r="G39" s="33"/>
    </row>
    <row r="40" spans="1:7">
      <c r="A40" s="51" t="s">
        <v>447</v>
      </c>
      <c r="B40" s="40">
        <v>83.800003051757813</v>
      </c>
      <c r="C40" s="41" t="s">
        <v>413</v>
      </c>
      <c r="D40" s="41" t="s">
        <v>413</v>
      </c>
      <c r="E40" s="41" t="s">
        <v>413</v>
      </c>
      <c r="F40" s="41" t="s">
        <v>413</v>
      </c>
      <c r="G40" s="33"/>
    </row>
    <row r="41" spans="1:7" ht="15.5">
      <c r="A41" s="51" t="s">
        <v>411</v>
      </c>
      <c r="B41" s="40" t="s">
        <v>448</v>
      </c>
      <c r="C41" s="40">
        <v>37.400001525878906</v>
      </c>
      <c r="D41" s="40">
        <v>59.599998474121094</v>
      </c>
      <c r="E41" s="40">
        <v>120.59999847412109</v>
      </c>
      <c r="F41" s="40">
        <v>567.5</v>
      </c>
      <c r="G41" s="33"/>
    </row>
    <row r="42" spans="1:7" ht="15.5">
      <c r="A42" s="51" t="s">
        <v>192</v>
      </c>
      <c r="B42" s="40" t="s">
        <v>449</v>
      </c>
      <c r="C42" s="40">
        <v>15.699999809265137</v>
      </c>
      <c r="D42" s="40">
        <v>27.799999237060547</v>
      </c>
      <c r="E42" s="40">
        <v>75.5</v>
      </c>
      <c r="F42" s="40">
        <v>457.5</v>
      </c>
      <c r="G42" s="33"/>
    </row>
    <row r="43" spans="1:7" ht="15.5">
      <c r="A43" s="56" t="s">
        <v>450</v>
      </c>
      <c r="B43" s="44" t="s">
        <v>451</v>
      </c>
      <c r="C43" s="44">
        <v>21.700000762939453</v>
      </c>
      <c r="D43" s="44">
        <v>31.799999237060547</v>
      </c>
      <c r="E43" s="44">
        <v>45.099998474121094</v>
      </c>
      <c r="F43" s="44">
        <v>109.90000152587891</v>
      </c>
      <c r="G43" s="33"/>
    </row>
    <row r="44" spans="1:7">
      <c r="A44" s="51" t="s">
        <v>452</v>
      </c>
      <c r="B44" s="34" t="s">
        <v>405</v>
      </c>
      <c r="C44" s="34" t="s">
        <v>405</v>
      </c>
      <c r="D44" s="34" t="s">
        <v>405</v>
      </c>
      <c r="E44" s="34" t="s">
        <v>405</v>
      </c>
      <c r="F44" s="34" t="s">
        <v>405</v>
      </c>
      <c r="G44" s="33"/>
    </row>
    <row r="45" spans="1:7">
      <c r="A45" s="51" t="s">
        <v>447</v>
      </c>
      <c r="B45" s="40">
        <v>16.200000762939453</v>
      </c>
      <c r="C45" s="41" t="s">
        <v>413</v>
      </c>
      <c r="D45" s="41" t="s">
        <v>413</v>
      </c>
      <c r="E45" s="41" t="s">
        <v>413</v>
      </c>
      <c r="F45" s="41" t="s">
        <v>413</v>
      </c>
      <c r="G45" s="33"/>
    </row>
    <row r="46" spans="1:7" ht="15.5">
      <c r="A46" s="51" t="s">
        <v>411</v>
      </c>
      <c r="B46" s="40" t="s">
        <v>453</v>
      </c>
      <c r="C46" s="40">
        <v>37.5</v>
      </c>
      <c r="D46" s="40">
        <v>59.700000762939453</v>
      </c>
      <c r="E46" s="40">
        <v>128</v>
      </c>
      <c r="F46" s="40">
        <v>516</v>
      </c>
      <c r="G46" s="33"/>
    </row>
    <row r="47" spans="1:7" ht="15.5">
      <c r="A47" s="51" t="s">
        <v>192</v>
      </c>
      <c r="B47" s="40" t="s">
        <v>454</v>
      </c>
      <c r="C47" s="40">
        <v>50.200000762939453</v>
      </c>
      <c r="D47" s="40">
        <v>92.900001525878906</v>
      </c>
      <c r="E47" s="40">
        <v>150.89999389648438</v>
      </c>
      <c r="F47" s="40">
        <v>602.4000244140625</v>
      </c>
      <c r="G47" s="33" t="s">
        <v>405</v>
      </c>
    </row>
    <row r="48" spans="1:7" ht="15" customHeight="1">
      <c r="A48" s="56" t="s">
        <v>455</v>
      </c>
      <c r="B48" s="44" t="s">
        <v>456</v>
      </c>
      <c r="C48" s="44">
        <v>-12.600000381469727</v>
      </c>
      <c r="D48" s="44">
        <v>-33.200000762939453</v>
      </c>
      <c r="E48" s="44">
        <v>-22.899999618530273</v>
      </c>
      <c r="F48" s="44">
        <v>-86.400001525878906</v>
      </c>
      <c r="G48" s="33" t="s">
        <v>405</v>
      </c>
    </row>
    <row r="49" spans="1:9">
      <c r="A49" s="33" t="s">
        <v>405</v>
      </c>
      <c r="B49" s="33"/>
      <c r="C49" s="33"/>
      <c r="D49" s="33"/>
      <c r="E49" s="33"/>
      <c r="F49" s="33"/>
      <c r="G49" s="33"/>
    </row>
    <row r="50" spans="1:9">
      <c r="A50" s="62" t="s">
        <v>457</v>
      </c>
      <c r="B50" s="62"/>
      <c r="C50" s="62"/>
      <c r="D50" s="62"/>
      <c r="E50" s="62"/>
      <c r="F50" s="62"/>
      <c r="G50" s="33"/>
    </row>
    <row r="51" spans="1:9">
      <c r="F51" s="33"/>
      <c r="G51" s="33"/>
    </row>
    <row r="52" spans="1:9">
      <c r="A52" s="38" t="s">
        <v>458</v>
      </c>
      <c r="B52" s="33"/>
      <c r="C52" s="33"/>
      <c r="D52" s="33"/>
      <c r="E52" s="33"/>
      <c r="F52" s="33"/>
      <c r="G52" s="33"/>
    </row>
    <row r="53" spans="1:9">
      <c r="A53" s="58" t="s">
        <v>459</v>
      </c>
      <c r="B53" s="396" t="s">
        <v>460</v>
      </c>
      <c r="C53" s="397"/>
      <c r="D53" s="397"/>
      <c r="E53" s="398"/>
      <c r="F53" s="33"/>
      <c r="G53" s="33"/>
    </row>
    <row r="54" spans="1:9">
      <c r="A54" s="58" t="s">
        <v>461</v>
      </c>
      <c r="B54" s="396" t="s">
        <v>462</v>
      </c>
      <c r="C54" s="397"/>
      <c r="D54" s="397"/>
      <c r="E54" s="398"/>
      <c r="F54" s="33"/>
      <c r="G54" s="33"/>
    </row>
    <row r="55" spans="1:9">
      <c r="A55" s="58" t="s">
        <v>463</v>
      </c>
      <c r="B55" s="396" t="s">
        <v>464</v>
      </c>
      <c r="C55" s="397"/>
      <c r="D55" s="397"/>
      <c r="E55" s="398"/>
      <c r="F55" s="49"/>
      <c r="G55" s="33"/>
    </row>
    <row r="56" spans="1:9">
      <c r="A56" s="59" t="s">
        <v>465</v>
      </c>
      <c r="B56" s="393" t="s">
        <v>411</v>
      </c>
      <c r="C56" s="394"/>
      <c r="D56" s="394"/>
      <c r="E56" s="395"/>
      <c r="F56" s="33"/>
      <c r="G56" s="33"/>
    </row>
    <row r="57" spans="1:9">
      <c r="A57" s="58" t="s">
        <v>466</v>
      </c>
      <c r="B57" s="396" t="s">
        <v>467</v>
      </c>
      <c r="C57" s="397"/>
      <c r="D57" s="397"/>
      <c r="E57" s="398"/>
      <c r="F57" s="33"/>
      <c r="G57" s="33"/>
    </row>
    <row r="58" spans="1:9">
      <c r="A58" s="58" t="s">
        <v>468</v>
      </c>
      <c r="B58" s="393">
        <v>2023</v>
      </c>
      <c r="C58" s="394"/>
      <c r="D58" s="394"/>
      <c r="E58" s="395"/>
      <c r="F58" s="33"/>
      <c r="G58" s="33"/>
    </row>
    <row r="59" spans="1:9">
      <c r="A59" s="58" t="s">
        <v>469</v>
      </c>
      <c r="B59" s="57" t="s">
        <v>470</v>
      </c>
      <c r="C59" s="47"/>
      <c r="D59" s="47"/>
      <c r="E59" s="47"/>
      <c r="F59" s="33"/>
      <c r="G59" s="33"/>
    </row>
    <row r="60" spans="1:9">
      <c r="A60" s="33"/>
      <c r="B60" s="33"/>
      <c r="C60" s="33"/>
      <c r="D60" s="33"/>
      <c r="E60" s="33"/>
      <c r="F60" s="33"/>
      <c r="G60" s="66"/>
    </row>
    <row r="61" spans="1:9">
      <c r="B61" s="33"/>
      <c r="C61" s="33"/>
      <c r="D61" s="33"/>
      <c r="E61" s="33"/>
      <c r="F61" s="33"/>
      <c r="G61" s="33"/>
      <c r="H61" s="66"/>
      <c r="I61" s="66"/>
    </row>
    <row r="62" spans="1:9">
      <c r="A62" s="58" t="s">
        <v>471</v>
      </c>
      <c r="B62" s="33"/>
      <c r="C62" s="33"/>
      <c r="D62" s="33"/>
      <c r="E62" s="33"/>
      <c r="F62" s="33"/>
      <c r="G62" s="33" t="s">
        <v>405</v>
      </c>
    </row>
    <row r="63" spans="1:9" ht="63.5">
      <c r="A63" s="39" t="s">
        <v>472</v>
      </c>
      <c r="G63" s="33" t="s">
        <v>405</v>
      </c>
    </row>
    <row r="64" spans="1:9">
      <c r="G64" s="33"/>
    </row>
    <row r="65" spans="7:7">
      <c r="G65" s="33"/>
    </row>
    <row r="66" spans="7:7">
      <c r="G66" s="33"/>
    </row>
    <row r="67" spans="7:7">
      <c r="G67" s="33"/>
    </row>
    <row r="68" spans="7:7">
      <c r="G68" s="33" t="s">
        <v>405</v>
      </c>
    </row>
    <row r="69" spans="7:7">
      <c r="G69" s="33"/>
    </row>
    <row r="70" spans="7:7">
      <c r="G70" s="33"/>
    </row>
    <row r="71" spans="7:7">
      <c r="G71" s="33"/>
    </row>
    <row r="72" spans="7:7">
      <c r="G72" s="33"/>
    </row>
    <row r="73" spans="7:7">
      <c r="G73" s="33"/>
    </row>
    <row r="74" spans="7:7">
      <c r="G74" s="33"/>
    </row>
    <row r="75" spans="7:7">
      <c r="G75" s="33"/>
    </row>
    <row r="76" spans="7:7">
      <c r="G76" s="33"/>
    </row>
    <row r="77" spans="7:7">
      <c r="G77" s="33"/>
    </row>
    <row r="78" spans="7:7">
      <c r="G78" s="33"/>
    </row>
    <row r="79" spans="7:7">
      <c r="G79" s="49"/>
    </row>
    <row r="80" spans="7:7">
      <c r="G80" s="33"/>
    </row>
    <row r="81" spans="7:7">
      <c r="G81" s="33"/>
    </row>
    <row r="82" spans="7:7">
      <c r="G82" s="33"/>
    </row>
    <row r="83" spans="7:7">
      <c r="G83" s="33"/>
    </row>
    <row r="84" spans="7:7">
      <c r="G84" s="33"/>
    </row>
    <row r="85" spans="7:7">
      <c r="G85" s="33"/>
    </row>
    <row r="86" spans="7:7" ht="18.649999999999999" customHeight="1">
      <c r="G86" s="33"/>
    </row>
    <row r="87" spans="7:7" ht="67.150000000000006" customHeight="1"/>
  </sheetData>
  <mergeCells count="10">
    <mergeCell ref="B58:E58"/>
    <mergeCell ref="B55:E55"/>
    <mergeCell ref="B53:E53"/>
    <mergeCell ref="B54:E54"/>
    <mergeCell ref="A1:G1"/>
    <mergeCell ref="B9:G9"/>
    <mergeCell ref="B34:F34"/>
    <mergeCell ref="B38:F38"/>
    <mergeCell ref="B57:E57"/>
    <mergeCell ref="B56:E56"/>
  </mergeCells>
  <pageMargins left="0.38" right="0.25" top="0.75" bottom="0.75" header="0.3" footer="0.3"/>
  <pageSetup scale="63" orientation="portrait" r:id="rId1"/>
  <headerFooter>
    <oddFooter>&amp;LPrepared by: Miraj Sangani&amp;CNAICS%&amp;R&amp;P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1011-75A4-489C-BA28-FFCE03F6BEB0}">
  <sheetPr>
    <tabColor theme="0" tint="-0.499984740745262"/>
    <pageSetUpPr fitToPage="1"/>
  </sheetPr>
  <dimension ref="A1:M70"/>
  <sheetViews>
    <sheetView zoomScaleNormal="100" zoomScalePageLayoutView="55" workbookViewId="0">
      <selection activeCell="E11" sqref="E11"/>
    </sheetView>
  </sheetViews>
  <sheetFormatPr defaultRowHeight="14.5"/>
  <cols>
    <col min="1" max="1" width="40.7265625" customWidth="1"/>
    <col min="2" max="2" width="11.54296875" customWidth="1"/>
    <col min="3" max="3" width="15" customWidth="1"/>
    <col min="4" max="4" width="13.453125" customWidth="1"/>
    <col min="5" max="7" width="15" customWidth="1"/>
  </cols>
  <sheetData>
    <row r="1" spans="1:13" ht="15" thickBot="1">
      <c r="A1" s="399" t="s">
        <v>473</v>
      </c>
      <c r="B1" s="400"/>
      <c r="C1" s="400"/>
      <c r="D1" s="400"/>
      <c r="E1" s="400"/>
      <c r="F1" s="400"/>
      <c r="G1" s="401"/>
    </row>
    <row r="3" spans="1:13" ht="14.5" customHeight="1">
      <c r="A3" s="36"/>
      <c r="F3" s="33"/>
      <c r="G3" s="33"/>
      <c r="H3" s="33"/>
      <c r="I3" s="33"/>
      <c r="J3" s="33"/>
      <c r="K3" s="33"/>
      <c r="L3" s="33"/>
      <c r="M3" s="33"/>
    </row>
    <row r="4" spans="1:13" ht="39.5">
      <c r="A4" s="33"/>
      <c r="B4" s="59" t="s">
        <v>398</v>
      </c>
      <c r="C4" s="59" t="s">
        <v>399</v>
      </c>
      <c r="D4" s="59" t="s">
        <v>400</v>
      </c>
      <c r="E4" s="59" t="s">
        <v>401</v>
      </c>
      <c r="F4" s="59" t="s">
        <v>402</v>
      </c>
      <c r="G4" s="59" t="s">
        <v>403</v>
      </c>
      <c r="H4" s="33"/>
      <c r="I4" s="33"/>
      <c r="J4" s="33"/>
      <c r="K4" s="33"/>
      <c r="L4" s="33"/>
      <c r="M4" s="33"/>
    </row>
    <row r="5" spans="1:13">
      <c r="A5" s="60" t="s">
        <v>404</v>
      </c>
      <c r="B5" s="34">
        <v>4088</v>
      </c>
      <c r="C5" s="34" t="s">
        <v>405</v>
      </c>
      <c r="D5" s="34" t="s">
        <v>405</v>
      </c>
      <c r="E5" s="34" t="s">
        <v>405</v>
      </c>
      <c r="F5" s="34" t="s">
        <v>405</v>
      </c>
      <c r="G5" s="34" t="s">
        <v>405</v>
      </c>
      <c r="H5" s="33"/>
      <c r="I5" s="33"/>
      <c r="J5" s="33"/>
      <c r="K5" s="33"/>
      <c r="L5" s="33"/>
      <c r="M5" s="33"/>
    </row>
    <row r="6" spans="1:13">
      <c r="A6" s="60" t="s">
        <v>406</v>
      </c>
      <c r="B6" s="34" t="s">
        <v>405</v>
      </c>
      <c r="C6" s="34" t="s">
        <v>405</v>
      </c>
      <c r="D6" s="34" t="s">
        <v>405</v>
      </c>
      <c r="E6" s="34" t="s">
        <v>405</v>
      </c>
      <c r="F6" s="34" t="s">
        <v>405</v>
      </c>
      <c r="G6" s="34" t="s">
        <v>405</v>
      </c>
      <c r="H6" s="33"/>
      <c r="I6" s="33"/>
      <c r="J6" s="33"/>
      <c r="K6" s="33"/>
      <c r="L6" s="33"/>
      <c r="M6" s="33"/>
    </row>
    <row r="7" spans="1:13">
      <c r="A7" s="39" t="s">
        <v>407</v>
      </c>
      <c r="B7" s="34">
        <v>30</v>
      </c>
      <c r="C7" s="34">
        <v>30</v>
      </c>
      <c r="D7" s="34">
        <v>46</v>
      </c>
      <c r="E7" s="34">
        <v>78</v>
      </c>
      <c r="F7" s="34">
        <v>190</v>
      </c>
      <c r="G7" s="34" t="s">
        <v>405</v>
      </c>
      <c r="H7" s="33"/>
      <c r="I7" s="33"/>
      <c r="J7" s="33"/>
      <c r="K7" s="33"/>
      <c r="L7" s="33"/>
      <c r="M7" s="33"/>
    </row>
    <row r="8" spans="1:13">
      <c r="A8" s="39" t="s">
        <v>408</v>
      </c>
      <c r="B8" s="34">
        <v>5000</v>
      </c>
      <c r="C8" s="34">
        <v>46</v>
      </c>
      <c r="D8" s="34">
        <v>78</v>
      </c>
      <c r="E8" s="34">
        <v>190</v>
      </c>
      <c r="F8" s="34">
        <v>5000</v>
      </c>
      <c r="G8" s="34" t="s">
        <v>405</v>
      </c>
      <c r="H8" s="33"/>
      <c r="I8" s="33"/>
      <c r="J8" s="33"/>
      <c r="K8" s="33"/>
      <c r="L8" s="33"/>
      <c r="M8" s="33"/>
    </row>
    <row r="9" spans="1:13">
      <c r="A9" s="33" t="s">
        <v>405</v>
      </c>
      <c r="B9" s="33" t="s">
        <v>405</v>
      </c>
      <c r="C9" s="33" t="s">
        <v>405</v>
      </c>
      <c r="D9" s="33" t="s">
        <v>405</v>
      </c>
      <c r="E9" s="33" t="s">
        <v>405</v>
      </c>
      <c r="F9" s="33" t="s">
        <v>405</v>
      </c>
      <c r="G9" s="33" t="s">
        <v>405</v>
      </c>
      <c r="H9" s="33"/>
      <c r="I9" s="33"/>
      <c r="J9" s="33"/>
      <c r="K9" s="33"/>
      <c r="L9" s="33"/>
      <c r="M9" s="33"/>
    </row>
    <row r="10" spans="1:13">
      <c r="A10" s="35" t="s">
        <v>409</v>
      </c>
      <c r="B10" s="406" t="s">
        <v>474</v>
      </c>
      <c r="C10" s="407"/>
      <c r="D10" s="407"/>
      <c r="E10" s="407"/>
      <c r="F10" s="407"/>
      <c r="G10" s="408"/>
      <c r="H10" s="33"/>
      <c r="I10" s="33"/>
      <c r="J10" s="33"/>
      <c r="K10" s="33"/>
      <c r="L10" s="33"/>
      <c r="M10" s="33"/>
    </row>
    <row r="11" spans="1:13" ht="15.5">
      <c r="A11" s="59" t="s">
        <v>411</v>
      </c>
      <c r="B11" s="44" t="s">
        <v>475</v>
      </c>
      <c r="C11" s="44">
        <v>37.400001525878906</v>
      </c>
      <c r="D11" s="44">
        <v>59.599998474121094</v>
      </c>
      <c r="E11" s="44">
        <v>122.09999847412109</v>
      </c>
      <c r="F11" s="44">
        <v>553.70001220703125</v>
      </c>
      <c r="G11" s="44">
        <v>100</v>
      </c>
      <c r="H11" s="33"/>
      <c r="I11" s="33"/>
      <c r="J11" s="33"/>
      <c r="K11" s="33"/>
      <c r="L11" s="33"/>
      <c r="M11" s="33"/>
    </row>
    <row r="12" spans="1:13">
      <c r="A12" s="39" t="s">
        <v>412</v>
      </c>
      <c r="B12" s="41" t="s">
        <v>413</v>
      </c>
      <c r="C12" s="41" t="s">
        <v>413</v>
      </c>
      <c r="D12" s="41" t="s">
        <v>413</v>
      </c>
      <c r="E12" s="41" t="s">
        <v>413</v>
      </c>
      <c r="F12" s="41" t="s">
        <v>413</v>
      </c>
      <c r="G12" s="41" t="s">
        <v>413</v>
      </c>
      <c r="H12" s="33"/>
      <c r="I12" s="33"/>
      <c r="J12" s="33"/>
      <c r="K12" s="33"/>
      <c r="L12" s="33"/>
      <c r="M12" s="33"/>
    </row>
    <row r="13" spans="1:13">
      <c r="A13" s="39" t="s">
        <v>414</v>
      </c>
      <c r="B13" s="41" t="s">
        <v>413</v>
      </c>
      <c r="C13" s="41" t="s">
        <v>413</v>
      </c>
      <c r="D13" s="41" t="s">
        <v>413</v>
      </c>
      <c r="E13" s="41" t="s">
        <v>413</v>
      </c>
      <c r="F13" s="41" t="s">
        <v>413</v>
      </c>
      <c r="G13" s="41" t="s">
        <v>413</v>
      </c>
      <c r="H13" s="33"/>
      <c r="I13" s="33"/>
      <c r="J13" s="33"/>
      <c r="K13" s="33"/>
      <c r="L13" s="33"/>
      <c r="M13" s="33"/>
    </row>
    <row r="14" spans="1:13" ht="15.5">
      <c r="A14" s="59" t="s">
        <v>177</v>
      </c>
      <c r="B14" s="44" t="s">
        <v>476</v>
      </c>
      <c r="C14" s="44">
        <v>2.9000000953674316</v>
      </c>
      <c r="D14" s="44">
        <v>5.9000000953674316</v>
      </c>
      <c r="E14" s="44">
        <v>18.799999237060547</v>
      </c>
      <c r="F14" s="44">
        <v>120.80000305175781</v>
      </c>
      <c r="G14" s="44">
        <v>54.5</v>
      </c>
      <c r="H14" s="33"/>
      <c r="I14" s="33"/>
      <c r="J14" s="33"/>
      <c r="K14" s="33"/>
      <c r="L14" s="33"/>
      <c r="M14" s="33"/>
    </row>
    <row r="15" spans="1:13" ht="15.5">
      <c r="A15" s="39" t="s">
        <v>416</v>
      </c>
      <c r="B15" s="40" t="s">
        <v>477</v>
      </c>
      <c r="C15" s="40">
        <v>0.10000000149011612</v>
      </c>
      <c r="D15" s="40">
        <v>0.5</v>
      </c>
      <c r="E15" s="40">
        <v>5.5</v>
      </c>
      <c r="F15" s="40">
        <v>46.5</v>
      </c>
      <c r="G15" s="40">
        <v>10.199999809265137</v>
      </c>
      <c r="H15" s="33"/>
      <c r="I15" s="33"/>
      <c r="J15" s="33"/>
      <c r="K15" s="33"/>
      <c r="L15" s="33"/>
      <c r="M15" s="33"/>
    </row>
    <row r="16" spans="1:13" ht="15.5">
      <c r="A16" s="39" t="s">
        <v>418</v>
      </c>
      <c r="B16" s="40" t="s">
        <v>478</v>
      </c>
      <c r="C16" s="40">
        <v>2.7999999523162842</v>
      </c>
      <c r="D16" s="40">
        <v>5.5</v>
      </c>
      <c r="E16" s="40">
        <v>13.5</v>
      </c>
      <c r="F16" s="40">
        <v>74.099998474121094</v>
      </c>
      <c r="G16" s="40">
        <v>53.5</v>
      </c>
      <c r="H16" s="33"/>
      <c r="I16" s="33"/>
      <c r="J16" s="33"/>
      <c r="K16" s="33"/>
      <c r="L16" s="33"/>
      <c r="M16" s="33"/>
    </row>
    <row r="17" spans="1:13" ht="15.5">
      <c r="A17" s="39" t="s">
        <v>420</v>
      </c>
      <c r="B17" s="40" t="s">
        <v>479</v>
      </c>
      <c r="C17" s="40">
        <v>0.20000000298023224</v>
      </c>
      <c r="D17" s="40">
        <v>0.5</v>
      </c>
      <c r="E17" s="40">
        <v>0.80000001192092896</v>
      </c>
      <c r="F17" s="40">
        <v>3.2999999523162842</v>
      </c>
      <c r="G17" s="40">
        <v>6.8000001907348633</v>
      </c>
      <c r="H17" s="33"/>
      <c r="I17" s="33"/>
      <c r="J17" s="33"/>
      <c r="K17" s="33"/>
      <c r="L17" s="33"/>
      <c r="M17" s="33"/>
    </row>
    <row r="18" spans="1:13" ht="15.5">
      <c r="A18" s="39" t="s">
        <v>422</v>
      </c>
      <c r="B18" s="40" t="s">
        <v>479</v>
      </c>
      <c r="C18" s="40">
        <v>0.20000000298023224</v>
      </c>
      <c r="D18" s="40">
        <v>0.5</v>
      </c>
      <c r="E18" s="40">
        <v>1</v>
      </c>
      <c r="F18" s="40">
        <v>3.0999999046325684</v>
      </c>
      <c r="G18" s="40">
        <v>6.8000001907348633</v>
      </c>
      <c r="H18" s="33"/>
      <c r="I18" s="33"/>
      <c r="J18" s="33"/>
      <c r="K18" s="33"/>
      <c r="L18" s="33"/>
      <c r="M18" s="33"/>
    </row>
    <row r="19" spans="1:13" ht="15.5">
      <c r="A19" s="59" t="s">
        <v>423</v>
      </c>
      <c r="B19" s="44" t="s">
        <v>480</v>
      </c>
      <c r="C19" s="44">
        <v>15.5</v>
      </c>
      <c r="D19" s="44">
        <v>28.299999237060547</v>
      </c>
      <c r="E19" s="44">
        <v>71.800003051757813</v>
      </c>
      <c r="F19" s="44">
        <v>375.60000610351563</v>
      </c>
      <c r="G19" s="44">
        <v>97.800003051757813</v>
      </c>
      <c r="H19" s="33"/>
      <c r="I19" s="33"/>
      <c r="J19" s="33"/>
      <c r="K19" s="33"/>
      <c r="L19" s="33"/>
      <c r="M19" s="33"/>
    </row>
    <row r="20" spans="1:13" ht="15.5">
      <c r="A20" s="39" t="s">
        <v>425</v>
      </c>
      <c r="B20" s="40" t="s">
        <v>481</v>
      </c>
      <c r="C20" s="40">
        <v>1</v>
      </c>
      <c r="D20" s="40">
        <v>4.5</v>
      </c>
      <c r="E20" s="40">
        <v>24.600000381469727</v>
      </c>
      <c r="F20" s="40">
        <v>196.60000610351563</v>
      </c>
      <c r="G20" s="40">
        <v>41.900001525878906</v>
      </c>
      <c r="H20" s="33"/>
      <c r="I20" s="33"/>
      <c r="J20" s="33"/>
      <c r="K20" s="33"/>
      <c r="L20" s="33"/>
      <c r="M20" s="33"/>
    </row>
    <row r="21" spans="1:13" ht="15.5">
      <c r="A21" s="39" t="s">
        <v>181</v>
      </c>
      <c r="B21" s="40" t="s">
        <v>482</v>
      </c>
      <c r="C21" s="40">
        <v>1.1000000238418579</v>
      </c>
      <c r="D21" s="40">
        <v>1.7999999523162842</v>
      </c>
      <c r="E21" s="40">
        <v>3.5</v>
      </c>
      <c r="F21" s="40">
        <v>17.200000762939453</v>
      </c>
      <c r="G21" s="40">
        <v>65.5</v>
      </c>
      <c r="H21" s="33"/>
      <c r="I21" s="33"/>
      <c r="J21" s="33"/>
      <c r="K21" s="33"/>
      <c r="L21" s="33"/>
      <c r="M21" s="33"/>
    </row>
    <row r="22" spans="1:13" ht="15.5">
      <c r="A22" s="39" t="s">
        <v>183</v>
      </c>
      <c r="B22" s="40" t="s">
        <v>483</v>
      </c>
      <c r="C22" s="40">
        <v>0.60000002384185791</v>
      </c>
      <c r="D22" s="40">
        <v>1.1000000238418579</v>
      </c>
      <c r="E22" s="40">
        <v>2.5999999046325684</v>
      </c>
      <c r="F22" s="40">
        <v>11.699999809265137</v>
      </c>
      <c r="G22" s="40">
        <v>60.599998474121094</v>
      </c>
      <c r="H22" s="33"/>
      <c r="I22" s="33"/>
      <c r="J22" s="33"/>
      <c r="K22" s="33"/>
      <c r="L22" s="33"/>
      <c r="M22" s="33"/>
    </row>
    <row r="23" spans="1:13" ht="15.5">
      <c r="A23" s="39" t="s">
        <v>184</v>
      </c>
      <c r="B23" s="40" t="s">
        <v>484</v>
      </c>
      <c r="C23" s="40">
        <v>1.2000000476837158</v>
      </c>
      <c r="D23" s="40">
        <v>1.7999999523162842</v>
      </c>
      <c r="E23" s="40">
        <v>3.9000000953674316</v>
      </c>
      <c r="F23" s="40">
        <v>13.199999809265137</v>
      </c>
      <c r="G23" s="40">
        <v>81.900001525878906</v>
      </c>
      <c r="H23" s="33"/>
      <c r="I23" s="33"/>
      <c r="J23" s="33"/>
      <c r="K23" s="33"/>
      <c r="L23" s="33"/>
      <c r="M23" s="33"/>
    </row>
    <row r="24" spans="1:13" ht="15.5">
      <c r="A24" s="39" t="s">
        <v>430</v>
      </c>
      <c r="B24" s="40" t="s">
        <v>485</v>
      </c>
      <c r="C24" s="40">
        <v>3.0999999046325684</v>
      </c>
      <c r="D24" s="40">
        <v>4.8000001907348633</v>
      </c>
      <c r="E24" s="40">
        <v>10.800000190734863</v>
      </c>
      <c r="F24" s="40">
        <v>39.299999237060547</v>
      </c>
      <c r="G24" s="40">
        <v>55.700000762939453</v>
      </c>
      <c r="H24" s="33"/>
      <c r="I24" s="33"/>
      <c r="J24" s="33"/>
      <c r="K24" s="33"/>
      <c r="L24" s="33"/>
      <c r="M24" s="33"/>
    </row>
    <row r="25" spans="1:13" ht="15.5">
      <c r="A25" s="39" t="s">
        <v>188</v>
      </c>
      <c r="B25" s="40" t="s">
        <v>428</v>
      </c>
      <c r="C25" s="40">
        <v>0.20000000298023224</v>
      </c>
      <c r="D25" s="40">
        <v>0.60000002384185791</v>
      </c>
      <c r="E25" s="40">
        <v>1.5</v>
      </c>
      <c r="F25" s="40">
        <v>6.1999998092651367</v>
      </c>
      <c r="G25" s="40">
        <v>45.200000762939453</v>
      </c>
      <c r="H25" s="33"/>
      <c r="I25" s="33"/>
      <c r="J25" s="33"/>
      <c r="K25" s="33"/>
      <c r="L25" s="33"/>
      <c r="M25" s="33"/>
    </row>
    <row r="26" spans="1:13" ht="15.5">
      <c r="A26" s="39" t="s">
        <v>433</v>
      </c>
      <c r="B26" s="40" t="s">
        <v>486</v>
      </c>
      <c r="C26" s="40">
        <v>0.60000002384185791</v>
      </c>
      <c r="D26" s="40">
        <v>1.6000000238418579</v>
      </c>
      <c r="E26" s="40">
        <v>3</v>
      </c>
      <c r="F26" s="40">
        <v>12.899999618530273</v>
      </c>
      <c r="G26" s="40">
        <v>80.900001525878906</v>
      </c>
      <c r="H26" s="33"/>
      <c r="I26" s="33"/>
      <c r="J26" s="33"/>
      <c r="K26" s="33"/>
      <c r="L26" s="33"/>
      <c r="M26" s="33"/>
    </row>
    <row r="27" spans="1:13" ht="15.5">
      <c r="A27" s="39" t="s">
        <v>190</v>
      </c>
      <c r="B27" s="40" t="s">
        <v>487</v>
      </c>
      <c r="C27" s="40">
        <v>0.40000000596046448</v>
      </c>
      <c r="D27" s="40">
        <v>0.60000002384185791</v>
      </c>
      <c r="E27" s="40">
        <v>1.7999999523162842</v>
      </c>
      <c r="F27" s="40">
        <v>12.399999618530273</v>
      </c>
      <c r="G27" s="40">
        <v>67.699996948242188</v>
      </c>
      <c r="H27" s="33"/>
      <c r="I27" s="33"/>
      <c r="J27" s="33"/>
      <c r="K27" s="33"/>
      <c r="L27" s="33"/>
      <c r="M27" s="33"/>
    </row>
    <row r="28" spans="1:13" ht="15.5">
      <c r="A28" s="39" t="s">
        <v>185</v>
      </c>
      <c r="B28" s="40" t="s">
        <v>479</v>
      </c>
      <c r="C28" s="40">
        <v>0</v>
      </c>
      <c r="D28" s="40">
        <v>0.10000000149011612</v>
      </c>
      <c r="E28" s="40">
        <v>0.10000000149011612</v>
      </c>
      <c r="F28" s="40">
        <v>4.4000000953674316</v>
      </c>
      <c r="G28" s="40">
        <v>14.5</v>
      </c>
      <c r="H28" s="33"/>
      <c r="I28" s="33"/>
      <c r="J28" s="33"/>
      <c r="K28" s="33"/>
      <c r="L28" s="33"/>
      <c r="M28" s="33"/>
    </row>
    <row r="29" spans="1:13" ht="15.5">
      <c r="A29" s="39" t="s">
        <v>186</v>
      </c>
      <c r="B29" s="40" t="s">
        <v>488</v>
      </c>
      <c r="C29" s="40">
        <v>0.60000002384185791</v>
      </c>
      <c r="D29" s="40">
        <v>1</v>
      </c>
      <c r="E29" s="40">
        <v>1.7999999523162842</v>
      </c>
      <c r="F29" s="40">
        <v>5.1999998092651367</v>
      </c>
      <c r="G29" s="40">
        <v>74.400001525878906</v>
      </c>
      <c r="H29" s="33"/>
      <c r="I29" s="33"/>
      <c r="J29" s="33"/>
      <c r="K29" s="33"/>
      <c r="L29" s="33"/>
      <c r="M29" s="33"/>
    </row>
    <row r="30" spans="1:13" ht="15.5">
      <c r="A30" s="39" t="s">
        <v>436</v>
      </c>
      <c r="B30" s="40" t="s">
        <v>489</v>
      </c>
      <c r="C30" s="40">
        <v>6.5999999046325684</v>
      </c>
      <c r="D30" s="40">
        <v>10.600000381469727</v>
      </c>
      <c r="E30" s="40">
        <v>18.100000381469727</v>
      </c>
      <c r="F30" s="40">
        <v>56.400001525878906</v>
      </c>
      <c r="G30" s="40">
        <v>96.599998474121094</v>
      </c>
      <c r="H30" s="33"/>
      <c r="I30" s="33"/>
      <c r="J30" s="33"/>
      <c r="K30" s="33"/>
      <c r="L30" s="33"/>
      <c r="M30" s="33"/>
    </row>
    <row r="31" spans="1:13" ht="15.5">
      <c r="A31" s="59" t="s">
        <v>192</v>
      </c>
      <c r="B31" s="44" t="s">
        <v>490</v>
      </c>
      <c r="C31" s="44">
        <v>18.399999618530273</v>
      </c>
      <c r="D31" s="44">
        <v>34.299999237060547</v>
      </c>
      <c r="E31" s="44">
        <v>90.599998474121094</v>
      </c>
      <c r="F31" s="44">
        <v>496.39999389648438</v>
      </c>
      <c r="G31" s="44">
        <v>97.900001525878906</v>
      </c>
      <c r="H31" s="33"/>
      <c r="I31" s="33"/>
      <c r="J31" s="33"/>
      <c r="K31" s="33"/>
      <c r="L31" s="33"/>
      <c r="M31" s="33"/>
    </row>
    <row r="32" spans="1:13" ht="15.5">
      <c r="A32" s="59" t="s">
        <v>194</v>
      </c>
      <c r="B32" s="44" t="s">
        <v>491</v>
      </c>
      <c r="C32" s="44">
        <v>19</v>
      </c>
      <c r="D32" s="44">
        <v>25.299999237060547</v>
      </c>
      <c r="E32" s="44">
        <v>31.600000381469727</v>
      </c>
      <c r="F32" s="44">
        <v>57.299999237060547</v>
      </c>
      <c r="G32" s="44">
        <v>100</v>
      </c>
      <c r="H32" s="33"/>
      <c r="I32" s="33"/>
      <c r="J32" s="33"/>
      <c r="K32" s="33"/>
      <c r="L32" s="33"/>
      <c r="M32" s="33"/>
    </row>
    <row r="33" spans="1:13">
      <c r="A33" s="33" t="s">
        <v>405</v>
      </c>
      <c r="B33" s="37" t="s">
        <v>405</v>
      </c>
      <c r="C33" s="37" t="s">
        <v>405</v>
      </c>
      <c r="D33" s="37" t="s">
        <v>405</v>
      </c>
      <c r="E33" s="37" t="s">
        <v>405</v>
      </c>
      <c r="F33" s="37" t="s">
        <v>405</v>
      </c>
      <c r="G33" s="37" t="s">
        <v>405</v>
      </c>
      <c r="H33" s="33"/>
      <c r="I33" s="33"/>
      <c r="J33" s="33"/>
      <c r="K33" s="33"/>
      <c r="L33" s="33"/>
      <c r="M33" s="33"/>
    </row>
    <row r="34" spans="1:13">
      <c r="A34" s="33" t="s">
        <v>405</v>
      </c>
      <c r="B34" s="33" t="s">
        <v>405</v>
      </c>
      <c r="C34" s="33" t="s">
        <v>405</v>
      </c>
      <c r="D34" s="33" t="s">
        <v>405</v>
      </c>
      <c r="E34" s="33" t="s">
        <v>405</v>
      </c>
      <c r="F34" s="33" t="s">
        <v>405</v>
      </c>
      <c r="G34" s="37" t="s">
        <v>405</v>
      </c>
      <c r="H34" s="33"/>
      <c r="I34" s="33"/>
      <c r="J34" s="33"/>
      <c r="K34" s="33"/>
      <c r="L34" s="33"/>
      <c r="M34" s="33"/>
    </row>
    <row r="35" spans="1:13">
      <c r="A35" s="35" t="s">
        <v>440</v>
      </c>
      <c r="B35" s="406" t="s">
        <v>441</v>
      </c>
      <c r="C35" s="407"/>
      <c r="D35" s="407"/>
      <c r="E35" s="407"/>
      <c r="F35" s="408"/>
      <c r="G35" s="33"/>
      <c r="H35" s="33"/>
      <c r="I35" s="33"/>
      <c r="J35" s="33"/>
      <c r="K35" s="33"/>
      <c r="L35" s="33"/>
      <c r="M35" s="33"/>
    </row>
    <row r="36" spans="1:13">
      <c r="A36" s="60" t="s">
        <v>442</v>
      </c>
      <c r="B36" s="40">
        <v>16.799999237060547</v>
      </c>
      <c r="C36" s="40">
        <v>77.900001525878906</v>
      </c>
      <c r="D36" s="40">
        <v>46.400001525878906</v>
      </c>
      <c r="E36" s="40">
        <v>22.5</v>
      </c>
      <c r="F36" s="40">
        <v>10.300000190734863</v>
      </c>
      <c r="G36" s="33"/>
      <c r="H36" s="33"/>
      <c r="I36" s="33"/>
      <c r="J36" s="33"/>
      <c r="K36" s="33"/>
      <c r="L36" s="33"/>
      <c r="M36" s="33"/>
    </row>
    <row r="37" spans="1:13">
      <c r="A37" s="60" t="s">
        <v>443</v>
      </c>
      <c r="B37" s="40">
        <v>80.800003051757813</v>
      </c>
      <c r="C37" s="40">
        <v>92.199996948242188</v>
      </c>
      <c r="D37" s="40">
        <v>90.099998474121094</v>
      </c>
      <c r="E37" s="40">
        <v>84.599998474121094</v>
      </c>
      <c r="F37" s="40">
        <v>78.199996948242188</v>
      </c>
      <c r="G37" s="33"/>
      <c r="H37" s="33"/>
      <c r="I37" s="33"/>
      <c r="J37" s="33"/>
      <c r="K37" s="33"/>
      <c r="L37" s="33"/>
      <c r="M37" s="33"/>
    </row>
    <row r="38" spans="1:13">
      <c r="A38" s="33" t="s">
        <v>405</v>
      </c>
      <c r="B38" s="33" t="s">
        <v>405</v>
      </c>
      <c r="C38" s="33" t="s">
        <v>405</v>
      </c>
      <c r="D38" s="33" t="s">
        <v>405</v>
      </c>
      <c r="E38" s="33" t="s">
        <v>405</v>
      </c>
      <c r="F38" s="33" t="s">
        <v>405</v>
      </c>
      <c r="G38" s="33"/>
      <c r="H38" s="33"/>
      <c r="I38" s="33"/>
      <c r="J38" s="33"/>
      <c r="K38" s="33"/>
      <c r="L38" s="33"/>
      <c r="M38" s="33"/>
    </row>
    <row r="39" spans="1:13">
      <c r="A39" s="35" t="s">
        <v>444</v>
      </c>
      <c r="B39" s="405" t="s">
        <v>445</v>
      </c>
      <c r="C39" s="405"/>
      <c r="D39" s="405"/>
      <c r="E39" s="405"/>
      <c r="F39" s="405"/>
      <c r="G39" s="33"/>
      <c r="H39" s="33"/>
      <c r="I39" s="33"/>
      <c r="J39" s="33"/>
      <c r="K39" s="33"/>
      <c r="L39" s="33"/>
      <c r="M39" s="33"/>
    </row>
    <row r="40" spans="1:13">
      <c r="A40" s="59" t="s">
        <v>446</v>
      </c>
      <c r="B40" s="34" t="s">
        <v>405</v>
      </c>
      <c r="C40" s="34" t="s">
        <v>405</v>
      </c>
      <c r="D40" s="34" t="s">
        <v>405</v>
      </c>
      <c r="E40" s="34" t="s">
        <v>405</v>
      </c>
      <c r="F40" s="34" t="s">
        <v>405</v>
      </c>
      <c r="G40" s="33"/>
      <c r="H40" s="33"/>
      <c r="I40" s="33"/>
      <c r="J40" s="33"/>
      <c r="K40" s="33"/>
      <c r="L40" s="33"/>
      <c r="M40" s="33"/>
    </row>
    <row r="41" spans="1:13">
      <c r="A41" s="39" t="s">
        <v>447</v>
      </c>
      <c r="B41" s="40">
        <v>83.800003051757813</v>
      </c>
      <c r="C41" s="41" t="s">
        <v>413</v>
      </c>
      <c r="D41" s="41" t="s">
        <v>413</v>
      </c>
      <c r="E41" s="41" t="s">
        <v>413</v>
      </c>
      <c r="F41" s="41" t="s">
        <v>413</v>
      </c>
      <c r="G41" s="33"/>
      <c r="H41" s="33"/>
      <c r="I41" s="33"/>
      <c r="J41" s="33"/>
      <c r="K41" s="33"/>
      <c r="L41" s="33"/>
      <c r="M41" s="33"/>
    </row>
    <row r="42" spans="1:13" ht="15.5">
      <c r="A42" s="61" t="s">
        <v>411</v>
      </c>
      <c r="B42" s="40" t="s">
        <v>448</v>
      </c>
      <c r="C42" s="40">
        <v>37.400001525878906</v>
      </c>
      <c r="D42" s="40">
        <v>59.599998474121094</v>
      </c>
      <c r="E42" s="40">
        <v>120.59999847412109</v>
      </c>
      <c r="F42" s="40">
        <v>567.5</v>
      </c>
      <c r="G42" s="33"/>
      <c r="H42" s="33"/>
      <c r="I42" s="33"/>
      <c r="J42" s="33"/>
      <c r="K42" s="33"/>
      <c r="L42" s="33"/>
      <c r="M42" s="33"/>
    </row>
    <row r="43" spans="1:13" ht="15.5">
      <c r="A43" s="61" t="s">
        <v>192</v>
      </c>
      <c r="B43" s="40" t="s">
        <v>449</v>
      </c>
      <c r="C43" s="40">
        <v>15.699999809265137</v>
      </c>
      <c r="D43" s="40">
        <v>27.799999237060547</v>
      </c>
      <c r="E43" s="40">
        <v>75.5</v>
      </c>
      <c r="F43" s="40">
        <v>457.5</v>
      </c>
      <c r="G43" s="33"/>
      <c r="H43" s="33"/>
      <c r="I43" s="33"/>
      <c r="J43" s="33"/>
      <c r="K43" s="33"/>
      <c r="L43" s="33"/>
      <c r="M43" s="33"/>
    </row>
    <row r="44" spans="1:13" ht="15.5">
      <c r="A44" s="61" t="s">
        <v>450</v>
      </c>
      <c r="B44" s="40" t="s">
        <v>492</v>
      </c>
      <c r="C44" s="40">
        <v>21.700000762939453</v>
      </c>
      <c r="D44" s="40">
        <v>31.799999237060547</v>
      </c>
      <c r="E44" s="40">
        <v>45.099998474121094</v>
      </c>
      <c r="F44" s="40">
        <v>109.90000152587891</v>
      </c>
      <c r="G44" s="33"/>
      <c r="H44" s="33"/>
      <c r="I44" s="33"/>
      <c r="J44" s="33"/>
      <c r="K44" s="33"/>
      <c r="L44" s="33"/>
      <c r="M44" s="33"/>
    </row>
    <row r="45" spans="1:13">
      <c r="A45" s="59" t="s">
        <v>452</v>
      </c>
      <c r="B45" s="34" t="s">
        <v>405</v>
      </c>
      <c r="C45" s="34" t="s">
        <v>405</v>
      </c>
      <c r="D45" s="34" t="s">
        <v>405</v>
      </c>
      <c r="E45" s="34" t="s">
        <v>405</v>
      </c>
      <c r="F45" s="34" t="s">
        <v>405</v>
      </c>
      <c r="G45" s="33"/>
      <c r="H45" s="33"/>
      <c r="I45" s="33"/>
      <c r="J45" s="33"/>
      <c r="K45" s="33"/>
      <c r="L45" s="33"/>
      <c r="M45" s="33"/>
    </row>
    <row r="46" spans="1:13">
      <c r="A46" s="67" t="s">
        <v>447</v>
      </c>
      <c r="B46" s="44">
        <v>16.200000762939453</v>
      </c>
      <c r="C46" s="68" t="s">
        <v>413</v>
      </c>
      <c r="D46" s="68" t="s">
        <v>413</v>
      </c>
      <c r="E46" s="68" t="s">
        <v>413</v>
      </c>
      <c r="F46" s="68" t="s">
        <v>413</v>
      </c>
      <c r="G46" s="33"/>
      <c r="H46" s="33"/>
      <c r="I46" s="33"/>
      <c r="J46" s="33"/>
      <c r="K46" s="33"/>
      <c r="L46" s="33"/>
      <c r="M46" s="33"/>
    </row>
    <row r="47" spans="1:13" ht="15.5">
      <c r="A47" s="61" t="s">
        <v>411</v>
      </c>
      <c r="B47" s="40" t="s">
        <v>453</v>
      </c>
      <c r="C47" s="40">
        <v>37.5</v>
      </c>
      <c r="D47" s="40">
        <v>59.700000762939453</v>
      </c>
      <c r="E47" s="40">
        <v>128</v>
      </c>
      <c r="F47" s="40">
        <v>516</v>
      </c>
      <c r="G47" s="33"/>
      <c r="H47" s="33"/>
      <c r="I47" s="33"/>
      <c r="J47" s="33"/>
      <c r="K47" s="33"/>
      <c r="L47" s="33"/>
      <c r="M47" s="33"/>
    </row>
    <row r="48" spans="1:13" ht="15.5">
      <c r="A48" s="61" t="s">
        <v>192</v>
      </c>
      <c r="B48" s="40" t="s">
        <v>454</v>
      </c>
      <c r="C48" s="40">
        <v>50.200000762939453</v>
      </c>
      <c r="D48" s="40">
        <v>92.900001525878906</v>
      </c>
      <c r="E48" s="40">
        <v>150.89999389648438</v>
      </c>
      <c r="F48" s="40">
        <v>602.4000244140625</v>
      </c>
      <c r="G48" s="33" t="s">
        <v>405</v>
      </c>
      <c r="H48" s="33"/>
      <c r="I48" s="33"/>
      <c r="J48" s="33"/>
      <c r="K48" s="33"/>
      <c r="L48" s="33"/>
      <c r="M48" s="33"/>
    </row>
    <row r="49" spans="1:13" ht="15.5">
      <c r="A49" s="61" t="s">
        <v>455</v>
      </c>
      <c r="B49" s="40" t="s">
        <v>493</v>
      </c>
      <c r="C49" s="40">
        <v>-12.600000381469727</v>
      </c>
      <c r="D49" s="40">
        <v>-33.200000762939453</v>
      </c>
      <c r="E49" s="40">
        <v>-22.899999618530273</v>
      </c>
      <c r="F49" s="40">
        <v>-86.400001525878906</v>
      </c>
      <c r="G49" s="33" t="s">
        <v>405</v>
      </c>
      <c r="H49" s="33"/>
      <c r="I49" s="33"/>
      <c r="J49" s="33"/>
      <c r="K49" s="33"/>
      <c r="L49" s="33"/>
      <c r="M49" s="33"/>
    </row>
    <row r="50" spans="1:13">
      <c r="A50" s="33" t="s">
        <v>405</v>
      </c>
      <c r="B50" s="33"/>
      <c r="C50" s="33"/>
      <c r="D50" s="33"/>
      <c r="E50" s="33"/>
      <c r="F50" s="33"/>
      <c r="G50" s="33"/>
      <c r="H50" s="33"/>
      <c r="I50" s="33"/>
      <c r="J50" s="33"/>
      <c r="K50" s="33"/>
      <c r="L50" s="33"/>
      <c r="M50" s="33"/>
    </row>
    <row r="51" spans="1:13">
      <c r="A51" s="62" t="s">
        <v>457</v>
      </c>
      <c r="B51" s="62"/>
      <c r="C51" s="62"/>
      <c r="D51" s="62"/>
      <c r="E51" s="62"/>
      <c r="F51" s="62"/>
      <c r="G51" s="33"/>
      <c r="H51" s="33"/>
      <c r="I51" s="33"/>
      <c r="J51" s="33"/>
      <c r="K51" s="33"/>
      <c r="L51" s="33"/>
      <c r="M51" s="33"/>
    </row>
    <row r="52" spans="1:13">
      <c r="F52" s="33"/>
      <c r="G52" s="33"/>
      <c r="H52" s="33"/>
      <c r="I52" s="33"/>
      <c r="J52" s="33"/>
      <c r="K52" s="33"/>
      <c r="L52" s="33"/>
      <c r="M52" s="33"/>
    </row>
    <row r="53" spans="1:13">
      <c r="A53" s="38" t="s">
        <v>458</v>
      </c>
      <c r="B53" s="33"/>
      <c r="C53" s="33"/>
      <c r="D53" s="33"/>
      <c r="E53" s="33"/>
      <c r="F53" s="33"/>
      <c r="G53" s="33"/>
      <c r="H53" s="33"/>
      <c r="I53" s="33"/>
      <c r="J53" s="33"/>
      <c r="K53" s="33"/>
      <c r="L53" s="33"/>
      <c r="M53" s="33"/>
    </row>
    <row r="54" spans="1:13">
      <c r="A54" s="59" t="s">
        <v>459</v>
      </c>
      <c r="B54" s="393" t="s">
        <v>460</v>
      </c>
      <c r="C54" s="394"/>
      <c r="D54" s="394"/>
      <c r="E54" s="395"/>
      <c r="F54" s="33"/>
      <c r="G54" s="33"/>
      <c r="H54" s="33"/>
      <c r="I54" s="33"/>
      <c r="J54" s="33"/>
      <c r="K54" s="33"/>
      <c r="L54" s="33"/>
      <c r="M54" s="33"/>
    </row>
    <row r="55" spans="1:13">
      <c r="A55" s="59" t="s">
        <v>461</v>
      </c>
      <c r="B55" s="393" t="s">
        <v>462</v>
      </c>
      <c r="C55" s="394"/>
      <c r="D55" s="394"/>
      <c r="E55" s="395"/>
      <c r="F55" s="33"/>
      <c r="G55" s="33"/>
      <c r="H55" s="33"/>
      <c r="I55" s="33"/>
      <c r="J55" s="33"/>
      <c r="K55" s="33"/>
      <c r="L55" s="33"/>
      <c r="M55" s="33"/>
    </row>
    <row r="56" spans="1:13">
      <c r="A56" s="59" t="s">
        <v>463</v>
      </c>
      <c r="B56" s="393" t="s">
        <v>464</v>
      </c>
      <c r="C56" s="394"/>
      <c r="D56" s="394"/>
      <c r="E56" s="395"/>
      <c r="F56" s="33"/>
      <c r="G56" s="33"/>
      <c r="H56" s="33"/>
      <c r="I56" s="33"/>
      <c r="J56" s="33"/>
      <c r="K56" s="33"/>
      <c r="L56" s="33"/>
      <c r="M56" s="33"/>
    </row>
    <row r="57" spans="1:13">
      <c r="A57" s="59" t="s">
        <v>465</v>
      </c>
      <c r="B57" s="393" t="s">
        <v>411</v>
      </c>
      <c r="C57" s="394"/>
      <c r="D57" s="394"/>
      <c r="E57" s="395"/>
      <c r="F57" s="33"/>
      <c r="G57" s="33"/>
      <c r="H57" s="33"/>
      <c r="I57" s="33"/>
      <c r="J57" s="33"/>
      <c r="K57" s="33"/>
      <c r="L57" s="33"/>
      <c r="M57" s="33"/>
    </row>
    <row r="58" spans="1:13">
      <c r="A58" s="59" t="s">
        <v>466</v>
      </c>
      <c r="B58" s="393" t="s">
        <v>494</v>
      </c>
      <c r="C58" s="394"/>
      <c r="D58" s="394"/>
      <c r="E58" s="395"/>
      <c r="F58" s="33"/>
      <c r="G58" s="33"/>
      <c r="H58" s="33"/>
      <c r="I58" s="33"/>
      <c r="J58" s="33"/>
      <c r="K58" s="33"/>
      <c r="L58" s="33"/>
      <c r="M58" s="33"/>
    </row>
    <row r="59" spans="1:13">
      <c r="A59" s="59" t="s">
        <v>468</v>
      </c>
      <c r="B59" s="393">
        <v>2023</v>
      </c>
      <c r="C59" s="394"/>
      <c r="D59" s="394"/>
      <c r="E59" s="395"/>
      <c r="F59" s="33"/>
      <c r="G59" s="33"/>
      <c r="H59" s="33"/>
      <c r="I59" s="33"/>
      <c r="J59" s="33"/>
      <c r="K59" s="33"/>
      <c r="L59" s="33"/>
      <c r="M59" s="33"/>
    </row>
    <row r="60" spans="1:13">
      <c r="A60" s="59" t="s">
        <v>469</v>
      </c>
      <c r="B60" s="63" t="s">
        <v>470</v>
      </c>
      <c r="C60" s="64"/>
      <c r="D60" s="64"/>
      <c r="E60" s="65"/>
      <c r="F60" s="33"/>
      <c r="G60" s="33"/>
      <c r="H60" s="33"/>
      <c r="I60" s="33"/>
      <c r="J60" s="33"/>
      <c r="K60" s="33"/>
      <c r="L60" s="33"/>
      <c r="M60" s="33"/>
    </row>
    <row r="61" spans="1:13">
      <c r="F61" s="33"/>
      <c r="G61" s="33"/>
      <c r="H61" s="33"/>
      <c r="I61" s="33"/>
      <c r="J61" s="45"/>
      <c r="K61" s="45"/>
      <c r="L61" s="45"/>
      <c r="M61" s="45"/>
    </row>
    <row r="62" spans="1:13">
      <c r="B62" s="33"/>
      <c r="C62" s="33"/>
      <c r="D62" s="33"/>
      <c r="E62" s="33"/>
      <c r="F62" s="33"/>
      <c r="G62" s="33" t="s">
        <v>405</v>
      </c>
      <c r="H62" s="33"/>
      <c r="I62" s="33"/>
      <c r="J62" s="45"/>
      <c r="K62" s="45"/>
      <c r="L62" s="45"/>
      <c r="M62" s="45"/>
    </row>
    <row r="63" spans="1:13">
      <c r="A63" s="59" t="s">
        <v>471</v>
      </c>
      <c r="B63" s="33"/>
      <c r="C63" s="33"/>
      <c r="D63" s="33"/>
      <c r="E63" s="33"/>
      <c r="F63" s="33"/>
      <c r="G63" s="33" t="s">
        <v>405</v>
      </c>
      <c r="H63" s="33"/>
      <c r="I63" s="33"/>
      <c r="J63" s="45"/>
      <c r="K63" s="45"/>
      <c r="L63" s="45"/>
      <c r="M63" s="45"/>
    </row>
    <row r="64" spans="1:13" ht="63.5">
      <c r="A64" s="39" t="s">
        <v>472</v>
      </c>
      <c r="H64" s="33"/>
      <c r="I64" s="33"/>
      <c r="J64" s="45"/>
      <c r="K64" s="45"/>
      <c r="L64" s="45"/>
      <c r="M64" s="45"/>
    </row>
    <row r="65" spans="10:13">
      <c r="J65" s="45"/>
      <c r="K65" s="45"/>
      <c r="L65" s="45"/>
      <c r="M65" s="45"/>
    </row>
    <row r="66" spans="10:13">
      <c r="J66" s="45"/>
      <c r="K66" s="45"/>
      <c r="L66" s="45"/>
      <c r="M66" s="45"/>
    </row>
    <row r="67" spans="10:13">
      <c r="J67" s="45"/>
      <c r="K67" s="45"/>
      <c r="L67" s="45"/>
      <c r="M67" s="45"/>
    </row>
    <row r="68" spans="10:13">
      <c r="J68" s="45"/>
      <c r="K68" s="45"/>
      <c r="L68" s="45"/>
      <c r="M68" s="45"/>
    </row>
    <row r="69" spans="10:13">
      <c r="J69" s="33"/>
      <c r="K69" s="33"/>
      <c r="L69" s="33"/>
      <c r="M69" s="33"/>
    </row>
    <row r="70" spans="10:13">
      <c r="J70" s="33"/>
      <c r="K70" s="33"/>
      <c r="L70" s="33"/>
      <c r="M70" s="33"/>
    </row>
  </sheetData>
  <mergeCells count="10">
    <mergeCell ref="B55:E55"/>
    <mergeCell ref="B56:E56"/>
    <mergeCell ref="B57:E57"/>
    <mergeCell ref="B58:E58"/>
    <mergeCell ref="B59:E59"/>
    <mergeCell ref="B10:G10"/>
    <mergeCell ref="B35:F35"/>
    <mergeCell ref="B39:F39"/>
    <mergeCell ref="A1:G1"/>
    <mergeCell ref="B54:E54"/>
  </mergeCells>
  <pageMargins left="0.38" right="0.25" top="0.75" bottom="0.75" header="0.3" footer="0.3"/>
  <pageSetup scale="63" orientation="portrait" r:id="rId1"/>
  <headerFooter>
    <oddFooter>&amp;LPrepared by: Miraj Sangani&amp;CNAICS$&amp;R&amp;P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5BA0B4-87BD-46BC-B98F-0F8F459C79F0}">
  <ds:schemaRefs>
    <ds:schemaRef ds:uri="http://schemas.microsoft.com/DataMashup"/>
  </ds:schemaRefs>
</ds:datastoreItem>
</file>

<file path=docMetadata/LabelInfo.xml><?xml version="1.0" encoding="utf-8"?>
<clbl:labelList xmlns:clbl="http://schemas.microsoft.com/office/2020/mipLabelMetadata">
  <clbl:label id="{4ddd393a-e98a-4404-841f-c4becdd925a5}" enabled="0" method="" siteId="{4ddd393a-e98a-4404-841f-c4becdd925a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Cover</vt:lpstr>
      <vt:lpstr>Family Budget</vt:lpstr>
      <vt:lpstr>Networth Stmt</vt:lpstr>
      <vt:lpstr>CFF</vt:lpstr>
      <vt:lpstr>IS</vt:lpstr>
      <vt:lpstr>BS</vt:lpstr>
      <vt:lpstr>Startup</vt:lpstr>
      <vt:lpstr>Sales</vt:lpstr>
      <vt:lpstr>Marketing</vt:lpstr>
      <vt:lpstr>Assets</vt:lpstr>
      <vt:lpstr>HR Exp</vt:lpstr>
      <vt:lpstr>Financing</vt:lpstr>
      <vt:lpstr>Other Exp</vt:lpstr>
      <vt:lpstr>NAICS%</vt:lpstr>
      <vt:lpstr>NAICS$</vt:lpstr>
      <vt:lpstr>Assets!Print_Area</vt:lpstr>
      <vt:lpstr>BS!Print_Area</vt:lpstr>
      <vt:lpstr>CFF!Print_Area</vt:lpstr>
      <vt:lpstr>Cover!Print_Area</vt:lpstr>
      <vt:lpstr>'Family Budget'!Print_Area</vt:lpstr>
      <vt:lpstr>Financing!Print_Area</vt:lpstr>
      <vt:lpstr>'HR Exp'!Print_Area</vt:lpstr>
      <vt:lpstr>IS!Print_Area</vt:lpstr>
      <vt:lpstr>Marketing!Print_Area</vt:lpstr>
      <vt:lpstr>'NAICS$'!Print_Area</vt:lpstr>
      <vt:lpstr>'NAICS%'!Print_Area</vt:lpstr>
      <vt:lpstr>'Networth Stmt'!Print_Area</vt:lpstr>
      <vt:lpstr>'Other Exp'!Print_Area</vt:lpstr>
      <vt:lpstr>Sales!Print_Area</vt:lpstr>
      <vt:lpstr>Startup!Print_Area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Miraj Kiritkumar Sangani</dc:creator>
  <cp:keywords/>
  <dc:description/>
  <cp:lastModifiedBy>Miraj Kiritkumar Sangani</cp:lastModifiedBy>
  <cp:revision/>
  <dcterms:created xsi:type="dcterms:W3CDTF">2024-09-23T13:19:49Z</dcterms:created>
  <dcterms:modified xsi:type="dcterms:W3CDTF">2025-04-08T19:45:28Z</dcterms:modified>
  <cp:category/>
  <cp:contentStatus/>
</cp:coreProperties>
</file>