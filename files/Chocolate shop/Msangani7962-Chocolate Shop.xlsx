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stuconestogacon-my.sharepoint.com/personal/msangani7962_conestogac_on_ca/Documents/College/Small Business Management/Chocolate shop/"/>
    </mc:Choice>
  </mc:AlternateContent>
  <xr:revisionPtr revIDLastSave="1384" documentId="13_ncr:1_{08FA7C61-D40C-4E25-97A6-7CDAE02BD782}" xr6:coauthVersionLast="47" xr6:coauthVersionMax="47" xr10:uidLastSave="{95120A85-8461-453A-B91D-A5462A09C12A}"/>
  <bookViews>
    <workbookView xWindow="-110" yWindow="-110" windowWidth="19420" windowHeight="12220" tabRatio="873" xr2:uid="{BEF198AB-9D7E-4BBC-9BA8-B9AB69E08622}"/>
  </bookViews>
  <sheets>
    <sheet name="Cover" sheetId="1" r:id="rId1"/>
    <sheet name="CFF" sheetId="2" r:id="rId2"/>
    <sheet name="IS" sheetId="12" r:id="rId3"/>
    <sheet name="BS" sheetId="13" r:id="rId4"/>
    <sheet name="Startup" sheetId="14" r:id="rId5"/>
    <sheet name="Sales+Inv+Cost" sheetId="15" r:id="rId6"/>
    <sheet name="Assets" sheetId="16" r:id="rId7"/>
    <sheet name="HR Exp" sheetId="17" r:id="rId8"/>
    <sheet name="Financing" sheetId="18" r:id="rId9"/>
    <sheet name="Other Exp" sheetId="19" r:id="rId10"/>
    <sheet name="NAICS%" sheetId="20" r:id="rId11"/>
    <sheet name="NAICS$" sheetId="21" r:id="rId12"/>
  </sheets>
  <definedNames>
    <definedName name="_xlnm.Print_Area" localSheetId="6">Assets!$A$1:$H$14</definedName>
    <definedName name="_xlnm.Print_Area" localSheetId="3">BS!$B$1:$C$36</definedName>
    <definedName name="_xlnm.Print_Area" localSheetId="1">CFF!$B$1:$O$52</definedName>
    <definedName name="_xlnm.Print_Area" localSheetId="0">Cover!$A$1:$B$27</definedName>
    <definedName name="_xlnm.Print_Area" localSheetId="8">Financing!$A$1:$N$35</definedName>
    <definedName name="_xlnm.Print_Area" localSheetId="7">'HR Exp'!$A$1:$Q$24</definedName>
    <definedName name="_xlnm.Print_Area" localSheetId="2">IS!$B$1:$G$43</definedName>
    <definedName name="_xlnm.Print_Area" localSheetId="11">'NAICS$'!$A$1:$I$64</definedName>
    <definedName name="_xlnm.Print_Area" localSheetId="10">'NAICS%'!$A$1:$I$62</definedName>
    <definedName name="_xlnm.Print_Area" localSheetId="9">'Other Exp'!$A$1:$R$37</definedName>
    <definedName name="_xlnm.Print_Area" localSheetId="5">'Sales+Inv+Cost'!$A$1:$P$62</definedName>
    <definedName name="_xlnm.Print_Area" localSheetId="4">Startup!$A$1:$G$35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2" l="1"/>
  <c r="O50" i="2" l="1"/>
  <c r="N50" i="2"/>
  <c r="M50" i="2"/>
  <c r="L50" i="2"/>
  <c r="K50" i="2"/>
  <c r="J50" i="2"/>
  <c r="I50" i="2"/>
  <c r="H50" i="2"/>
  <c r="G50" i="2"/>
  <c r="F50" i="2"/>
  <c r="E50" i="2"/>
  <c r="D50" i="2"/>
  <c r="C50" i="2"/>
  <c r="C42" i="2"/>
  <c r="O41" i="2"/>
  <c r="N41" i="2"/>
  <c r="M41" i="2"/>
  <c r="L41" i="2"/>
  <c r="K41" i="2"/>
  <c r="J41" i="2"/>
  <c r="I41" i="2"/>
  <c r="H41" i="2"/>
  <c r="G41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O37" i="2"/>
  <c r="C37" i="2"/>
  <c r="C36" i="2"/>
  <c r="C43" i="2" s="1"/>
  <c r="C48" i="2" s="1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N33" i="2"/>
  <c r="M33" i="2"/>
  <c r="L33" i="2"/>
  <c r="K33" i="2"/>
  <c r="J33" i="2"/>
  <c r="I33" i="2"/>
  <c r="H33" i="2"/>
  <c r="G33" i="2"/>
  <c r="F33" i="2"/>
  <c r="E33" i="2"/>
  <c r="D33" i="2"/>
  <c r="C33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O22" i="2"/>
  <c r="C22" i="2"/>
  <c r="J19" i="2"/>
  <c r="J47" i="2" s="1"/>
  <c r="O18" i="2"/>
  <c r="C18" i="2"/>
  <c r="O17" i="2"/>
  <c r="C17" i="2"/>
  <c r="M16" i="2"/>
  <c r="M19" i="2" s="1"/>
  <c r="M47" i="2" s="1"/>
  <c r="K16" i="2"/>
  <c r="K19" i="2" s="1"/>
  <c r="K47" i="2" s="1"/>
  <c r="J16" i="2"/>
  <c r="G16" i="2"/>
  <c r="G19" i="2" s="1"/>
  <c r="G47" i="2" s="1"/>
  <c r="E16" i="2"/>
  <c r="E19" i="2" s="1"/>
  <c r="E47" i="2" s="1"/>
  <c r="N15" i="2"/>
  <c r="N16" i="2" s="1"/>
  <c r="N19" i="2" s="1"/>
  <c r="N47" i="2" s="1"/>
  <c r="M15" i="2"/>
  <c r="L15" i="2"/>
  <c r="L16" i="2" s="1"/>
  <c r="L19" i="2" s="1"/>
  <c r="L47" i="2" s="1"/>
  <c r="K15" i="2"/>
  <c r="J15" i="2"/>
  <c r="I15" i="2"/>
  <c r="I16" i="2" s="1"/>
  <c r="I19" i="2" s="1"/>
  <c r="I47" i="2" s="1"/>
  <c r="H15" i="2"/>
  <c r="H16" i="2" s="1"/>
  <c r="H19" i="2" s="1"/>
  <c r="H47" i="2" s="1"/>
  <c r="G15" i="2"/>
  <c r="F15" i="2"/>
  <c r="F16" i="2" s="1"/>
  <c r="F19" i="2" s="1"/>
  <c r="F47" i="2" s="1"/>
  <c r="E15" i="2"/>
  <c r="D15" i="2"/>
  <c r="D16" i="2" s="1"/>
  <c r="D19" i="2" s="1"/>
  <c r="D47" i="2" s="1"/>
  <c r="C15" i="2"/>
  <c r="C16" i="2" s="1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O9" i="2"/>
  <c r="N9" i="2"/>
  <c r="M9" i="2"/>
  <c r="L9" i="2"/>
  <c r="K9" i="2"/>
  <c r="J9" i="2"/>
  <c r="I9" i="2"/>
  <c r="H9" i="2"/>
  <c r="G9" i="2"/>
  <c r="F9" i="2"/>
  <c r="E9" i="2"/>
  <c r="D9" i="2"/>
  <c r="C9" i="2"/>
  <c r="O8" i="2"/>
  <c r="N8" i="2"/>
  <c r="M8" i="2"/>
  <c r="L8" i="2"/>
  <c r="K8" i="2"/>
  <c r="J8" i="2"/>
  <c r="I8" i="2"/>
  <c r="H8" i="2"/>
  <c r="G8" i="2"/>
  <c r="F8" i="2"/>
  <c r="E8" i="2"/>
  <c r="D8" i="2"/>
  <c r="C8" i="2"/>
  <c r="O7" i="2"/>
  <c r="N7" i="2"/>
  <c r="M7" i="2"/>
  <c r="L7" i="2"/>
  <c r="K7" i="2"/>
  <c r="J7" i="2"/>
  <c r="I7" i="2"/>
  <c r="H7" i="2"/>
  <c r="G7" i="2"/>
  <c r="F7" i="2"/>
  <c r="E7" i="2"/>
  <c r="D7" i="2"/>
  <c r="C7" i="2"/>
  <c r="O16" i="2" l="1"/>
  <c r="O19" i="2" s="1"/>
  <c r="C19" i="2"/>
  <c r="C47" i="2" s="1"/>
  <c r="O33" i="2"/>
  <c r="O15" i="2"/>
  <c r="C49" i="2" l="1"/>
  <c r="O47" i="2"/>
  <c r="C51" i="2" l="1"/>
  <c r="C52" i="2" l="1"/>
  <c r="D35" i="2"/>
  <c r="D38" i="2"/>
  <c r="D42" i="2" l="1"/>
  <c r="D36" i="2"/>
  <c r="D46" i="2"/>
  <c r="D43" i="2" l="1"/>
  <c r="D48" i="2" s="1"/>
  <c r="D49" i="2" l="1"/>
  <c r="D51" i="2" l="1"/>
  <c r="E38" i="2" l="1"/>
  <c r="E35" i="2"/>
  <c r="D52" i="2"/>
  <c r="E36" i="2" l="1"/>
  <c r="E46" i="2"/>
  <c r="E42" i="2"/>
  <c r="E43" i="2" l="1"/>
  <c r="E48" i="2" s="1"/>
  <c r="E49" i="2" l="1"/>
  <c r="E51" i="2" l="1"/>
  <c r="F35" i="2" l="1"/>
  <c r="F38" i="2"/>
  <c r="E52" i="2"/>
  <c r="F46" i="2" l="1"/>
  <c r="F42" i="2"/>
  <c r="F36" i="2"/>
  <c r="F43" i="2" l="1"/>
  <c r="F48" i="2" s="1"/>
  <c r="F49" i="2"/>
  <c r="F51" i="2" l="1"/>
  <c r="G38" i="2" l="1"/>
  <c r="G35" i="2"/>
  <c r="F52" i="2"/>
  <c r="G46" i="2" l="1"/>
  <c r="G36" i="2"/>
  <c r="G42" i="2"/>
  <c r="G43" i="2" l="1"/>
  <c r="G48" i="2" s="1"/>
  <c r="G49" i="2"/>
  <c r="G51" i="2" l="1"/>
  <c r="H38" i="2" l="1"/>
  <c r="H35" i="2"/>
  <c r="G52" i="2"/>
  <c r="H46" i="2" l="1"/>
  <c r="H36" i="2"/>
  <c r="H42" i="2"/>
  <c r="H43" i="2" l="1"/>
  <c r="H48" i="2" s="1"/>
  <c r="H49" i="2"/>
  <c r="H51" i="2" s="1"/>
  <c r="I38" i="2" l="1"/>
  <c r="I42" i="2" s="1"/>
  <c r="I35" i="2"/>
  <c r="I36" i="2" s="1"/>
  <c r="I43" i="2" s="1"/>
  <c r="I48" i="2" s="1"/>
  <c r="H52" i="2"/>
  <c r="I46" i="2" s="1"/>
  <c r="I49" i="2" s="1"/>
  <c r="I51" i="2" s="1"/>
  <c r="J38" i="2" l="1"/>
  <c r="J42" i="2" s="1"/>
  <c r="J35" i="2"/>
  <c r="J36" i="2" s="1"/>
  <c r="J43" i="2" s="1"/>
  <c r="J48" i="2" s="1"/>
  <c r="I52" i="2"/>
  <c r="J46" i="2" s="1"/>
  <c r="J49" i="2" s="1"/>
  <c r="J51" i="2" s="1"/>
  <c r="K35" i="2" l="1"/>
  <c r="K36" i="2" s="1"/>
  <c r="J52" i="2"/>
  <c r="K46" i="2" s="1"/>
  <c r="K38" i="2"/>
  <c r="K42" i="2" s="1"/>
  <c r="K43" i="2" l="1"/>
  <c r="K48" i="2" s="1"/>
  <c r="K49" i="2" s="1"/>
  <c r="K51" i="2" s="1"/>
  <c r="L35" i="2" l="1"/>
  <c r="L36" i="2" s="1"/>
  <c r="K52" i="2"/>
  <c r="L46" i="2" s="1"/>
  <c r="L38" i="2"/>
  <c r="L42" i="2" s="1"/>
  <c r="L43" i="2" l="1"/>
  <c r="L48" i="2" s="1"/>
  <c r="L49" i="2" s="1"/>
  <c r="L51" i="2" s="1"/>
  <c r="M35" i="2" l="1"/>
  <c r="M36" i="2" s="1"/>
  <c r="L52" i="2"/>
  <c r="M46" i="2" s="1"/>
  <c r="M38" i="2"/>
  <c r="M42" i="2" s="1"/>
  <c r="M43" i="2" l="1"/>
  <c r="M48" i="2" s="1"/>
  <c r="M49" i="2" s="1"/>
  <c r="M51" i="2" s="1"/>
  <c r="M52" i="2" l="1"/>
  <c r="N46" i="2" s="1"/>
  <c r="N38" i="2"/>
  <c r="N35" i="2"/>
  <c r="N36" i="2" l="1"/>
  <c r="O35" i="2"/>
  <c r="N42" i="2"/>
  <c r="O42" i="2" s="1"/>
  <c r="O38" i="2"/>
  <c r="O46" i="2"/>
  <c r="N43" i="2" l="1"/>
  <c r="N48" i="2" s="1"/>
  <c r="O36" i="2"/>
  <c r="O43" i="2" s="1"/>
  <c r="O48" i="2" l="1"/>
  <c r="N49" i="2"/>
  <c r="N51" i="2" l="1"/>
  <c r="O49" i="2"/>
  <c r="N52" i="2" l="1"/>
  <c r="O52" i="2" s="1"/>
  <c r="O51" i="2"/>
  <c r="R36" i="15" l="1"/>
  <c r="R34" i="15"/>
  <c r="R27" i="15"/>
  <c r="O19" i="15"/>
  <c r="R20" i="15"/>
  <c r="S23" i="17"/>
  <c r="F38" i="12"/>
  <c r="F36" i="12"/>
  <c r="F35" i="12"/>
  <c r="F34" i="12"/>
  <c r="F33" i="12"/>
  <c r="F32" i="12"/>
  <c r="F31" i="12"/>
  <c r="F26" i="12"/>
  <c r="F25" i="12"/>
  <c r="F24" i="12"/>
  <c r="F23" i="12"/>
  <c r="F21" i="12"/>
  <c r="F16" i="12"/>
  <c r="F14" i="12"/>
  <c r="F13" i="12"/>
  <c r="F10" i="12"/>
  <c r="C32" i="13" l="1"/>
  <c r="C9" i="13"/>
  <c r="C8" i="13"/>
  <c r="C22" i="13" l="1"/>
  <c r="C35" i="12"/>
  <c r="C34" i="12"/>
  <c r="C33" i="12"/>
  <c r="C32" i="12"/>
  <c r="C31" i="12"/>
  <c r="D29" i="12"/>
  <c r="D28" i="12"/>
  <c r="D27" i="12"/>
  <c r="C25" i="12"/>
  <c r="C24" i="12"/>
  <c r="C23" i="12"/>
  <c r="C22" i="12"/>
  <c r="C13" i="12"/>
  <c r="O31" i="15"/>
  <c r="O38" i="15"/>
  <c r="O36" i="15"/>
  <c r="O33" i="15"/>
  <c r="O34" i="15"/>
  <c r="O32" i="15"/>
  <c r="O26" i="15"/>
  <c r="O27" i="15"/>
  <c r="O25" i="15"/>
  <c r="O24" i="15"/>
  <c r="O20" i="15"/>
  <c r="O18" i="15"/>
  <c r="O17" i="15"/>
  <c r="C9" i="12" l="1"/>
  <c r="C8" i="12"/>
  <c r="C7" i="12"/>
  <c r="C10" i="12" l="1"/>
  <c r="E9" i="12" s="1"/>
  <c r="E10" i="12" l="1"/>
  <c r="C14" i="12"/>
  <c r="E32" i="12"/>
  <c r="E23" i="12"/>
  <c r="E33" i="12"/>
  <c r="E25" i="12"/>
  <c r="E34" i="12"/>
  <c r="E24" i="12"/>
  <c r="E13" i="12"/>
  <c r="E35" i="12"/>
  <c r="E31" i="12"/>
  <c r="E7" i="12"/>
  <c r="E8" i="12"/>
  <c r="C31" i="13"/>
  <c r="F21" i="19"/>
  <c r="G21" i="19"/>
  <c r="H21" i="19"/>
  <c r="I21" i="19"/>
  <c r="J21" i="19"/>
  <c r="K21" i="19"/>
  <c r="L21" i="19"/>
  <c r="M21" i="19"/>
  <c r="N21" i="19"/>
  <c r="O21" i="19"/>
  <c r="P21" i="19"/>
  <c r="Q21" i="19"/>
  <c r="E14" i="12" l="1"/>
  <c r="C16" i="12"/>
  <c r="C33" i="13"/>
  <c r="D50" i="15"/>
  <c r="D7" i="14"/>
  <c r="E7" i="14" s="1"/>
  <c r="C10" i="14"/>
  <c r="E10" i="14" s="1"/>
  <c r="C9" i="14"/>
  <c r="C8" i="14"/>
  <c r="E16" i="14"/>
  <c r="D6" i="14"/>
  <c r="E14" i="14"/>
  <c r="B23" i="14"/>
  <c r="E22" i="14"/>
  <c r="E21" i="14"/>
  <c r="E20" i="14"/>
  <c r="E19" i="14"/>
  <c r="E18" i="14"/>
  <c r="E17" i="14"/>
  <c r="E15" i="14"/>
  <c r="E13" i="14"/>
  <c r="E12" i="14"/>
  <c r="E11" i="14"/>
  <c r="E9" i="14"/>
  <c r="E5" i="14"/>
  <c r="E4" i="14"/>
  <c r="C18" i="12" l="1"/>
  <c r="E18" i="12" s="1"/>
  <c r="E16" i="12"/>
  <c r="D23" i="14"/>
  <c r="C23" i="14"/>
  <c r="E8" i="14"/>
  <c r="E6" i="14"/>
  <c r="E23" i="14" s="1"/>
  <c r="E4" i="16"/>
  <c r="B8" i="16"/>
  <c r="C13" i="13" s="1"/>
  <c r="D8" i="16"/>
  <c r="E5" i="16"/>
  <c r="E6" i="16"/>
  <c r="E7" i="16"/>
  <c r="B14" i="16" s="1"/>
  <c r="J31" i="18"/>
  <c r="J32" i="18"/>
  <c r="K32" i="18"/>
  <c r="L32" i="18"/>
  <c r="M32" i="18"/>
  <c r="J33" i="18"/>
  <c r="K33" i="18"/>
  <c r="L33" i="18"/>
  <c r="M33" i="18"/>
  <c r="J34" i="18"/>
  <c r="K34" i="18"/>
  <c r="L34" i="18"/>
  <c r="M34" i="18"/>
  <c r="J35" i="18"/>
  <c r="K31" i="18" s="1"/>
  <c r="K35" i="18"/>
  <c r="L31" i="18" s="1"/>
  <c r="L35" i="18"/>
  <c r="M31" i="18" s="1"/>
  <c r="M35" i="18"/>
  <c r="I32" i="18"/>
  <c r="I33" i="18"/>
  <c r="I34" i="18"/>
  <c r="I35" i="18"/>
  <c r="E8" i="16" l="1"/>
  <c r="B13" i="16"/>
  <c r="C23" i="18"/>
  <c r="B14" i="18"/>
  <c r="B18" i="18" s="1"/>
  <c r="B7" i="18"/>
  <c r="C21" i="12" l="1"/>
  <c r="E21" i="12" s="1"/>
  <c r="C14" i="13"/>
  <c r="C15" i="13" s="1"/>
  <c r="D24" i="18"/>
  <c r="C24" i="18"/>
  <c r="C32" i="18"/>
  <c r="E24" i="18"/>
  <c r="H24" i="18"/>
  <c r="G32" i="18"/>
  <c r="I24" i="18"/>
  <c r="K24" i="18"/>
  <c r="D32" i="18"/>
  <c r="F24" i="18"/>
  <c r="H32" i="18"/>
  <c r="J24" i="18"/>
  <c r="E32" i="18"/>
  <c r="G24" i="18"/>
  <c r="F32" i="18"/>
  <c r="B32" i="18"/>
  <c r="L24" i="18"/>
  <c r="M24" i="18"/>
  <c r="G33" i="18"/>
  <c r="L26" i="18"/>
  <c r="C25" i="18"/>
  <c r="C26" i="18"/>
  <c r="B33" i="18"/>
  <c r="H33" i="18"/>
  <c r="M26" i="18"/>
  <c r="E26" i="18"/>
  <c r="F26" i="18"/>
  <c r="G26" i="18"/>
  <c r="H26" i="18"/>
  <c r="D33" i="18"/>
  <c r="K25" i="18"/>
  <c r="E33" i="18"/>
  <c r="L25" i="18"/>
  <c r="F33" i="18"/>
  <c r="M25" i="18"/>
  <c r="C34" i="18"/>
  <c r="D25" i="18"/>
  <c r="F34" i="18"/>
  <c r="H34" i="18"/>
  <c r="D34" i="18"/>
  <c r="E25" i="18"/>
  <c r="G25" i="18"/>
  <c r="H25" i="18"/>
  <c r="J25" i="18"/>
  <c r="K26" i="18"/>
  <c r="E34" i="18"/>
  <c r="D26" i="18"/>
  <c r="F25" i="18"/>
  <c r="G34" i="18"/>
  <c r="I25" i="18"/>
  <c r="I26" i="18"/>
  <c r="B34" i="18"/>
  <c r="J26" i="18"/>
  <c r="C33" i="18"/>
  <c r="G23" i="17"/>
  <c r="E24" i="17"/>
  <c r="F24" i="17"/>
  <c r="G24" i="17"/>
  <c r="H24" i="17"/>
  <c r="I24" i="17"/>
  <c r="J24" i="17"/>
  <c r="Q24" i="17" s="1"/>
  <c r="K24" i="17"/>
  <c r="L24" i="17"/>
  <c r="M24" i="17"/>
  <c r="N24" i="17"/>
  <c r="O24" i="17"/>
  <c r="P24" i="17"/>
  <c r="Q20" i="17"/>
  <c r="Q21" i="17"/>
  <c r="Q22" i="17"/>
  <c r="Q23" i="17"/>
  <c r="Q19" i="17"/>
  <c r="F23" i="17"/>
  <c r="H23" i="17"/>
  <c r="I23" i="17"/>
  <c r="J23" i="17"/>
  <c r="K23" i="17"/>
  <c r="L23" i="17"/>
  <c r="M23" i="17"/>
  <c r="N23" i="17"/>
  <c r="O23" i="17"/>
  <c r="P23" i="17"/>
  <c r="E23" i="17"/>
  <c r="I22" i="17"/>
  <c r="J22" i="17"/>
  <c r="K22" i="17"/>
  <c r="L22" i="17"/>
  <c r="M22" i="17"/>
  <c r="N22" i="17"/>
  <c r="O22" i="17"/>
  <c r="P22" i="17"/>
  <c r="G22" i="17"/>
  <c r="H22" i="17"/>
  <c r="F21" i="17"/>
  <c r="G21" i="17"/>
  <c r="H21" i="17"/>
  <c r="I21" i="17"/>
  <c r="J21" i="17"/>
  <c r="K21" i="17"/>
  <c r="L21" i="17"/>
  <c r="M21" i="17"/>
  <c r="N21" i="17"/>
  <c r="O21" i="17"/>
  <c r="P21" i="17"/>
  <c r="E21" i="17"/>
  <c r="F20" i="17"/>
  <c r="G20" i="17"/>
  <c r="H20" i="17"/>
  <c r="I20" i="17"/>
  <c r="J20" i="17"/>
  <c r="K20" i="17"/>
  <c r="L20" i="17"/>
  <c r="M20" i="17"/>
  <c r="N20" i="17"/>
  <c r="O20" i="17"/>
  <c r="P20" i="17"/>
  <c r="E20" i="17"/>
  <c r="F26" i="19"/>
  <c r="G26" i="19"/>
  <c r="K26" i="19"/>
  <c r="L26" i="19"/>
  <c r="M26" i="19"/>
  <c r="N33" i="18" l="1"/>
  <c r="N26" i="18"/>
  <c r="C27" i="18"/>
  <c r="D23" i="18" s="1"/>
  <c r="N25" i="18"/>
  <c r="N34" i="18"/>
  <c r="N32" i="18"/>
  <c r="N24" i="18"/>
  <c r="F14" i="19"/>
  <c r="F15" i="19"/>
  <c r="F8" i="19"/>
  <c r="H26" i="19"/>
  <c r="I26" i="19"/>
  <c r="J26" i="19"/>
  <c r="N26" i="19"/>
  <c r="O26" i="19"/>
  <c r="P26" i="19"/>
  <c r="Q26" i="19"/>
  <c r="R24" i="19"/>
  <c r="R25" i="19"/>
  <c r="R30" i="19"/>
  <c r="F31" i="19"/>
  <c r="G31" i="19"/>
  <c r="H31" i="19"/>
  <c r="I31" i="19"/>
  <c r="J31" i="19"/>
  <c r="N31" i="19"/>
  <c r="G29" i="19"/>
  <c r="H29" i="19"/>
  <c r="I29" i="19"/>
  <c r="J29" i="19"/>
  <c r="K29" i="19"/>
  <c r="K31" i="19" s="1"/>
  <c r="L29" i="19"/>
  <c r="L31" i="19" s="1"/>
  <c r="M29" i="19"/>
  <c r="M31" i="19" s="1"/>
  <c r="N29" i="19"/>
  <c r="O29" i="19"/>
  <c r="O31" i="19" s="1"/>
  <c r="P29" i="19"/>
  <c r="P31" i="19" s="1"/>
  <c r="Q29" i="19"/>
  <c r="Q31" i="19" s="1"/>
  <c r="F29" i="19"/>
  <c r="R20" i="19"/>
  <c r="R18" i="19"/>
  <c r="R19" i="19"/>
  <c r="D52" i="15"/>
  <c r="B54" i="15"/>
  <c r="B7" i="15"/>
  <c r="D27" i="18" l="1"/>
  <c r="E23" i="18" s="1"/>
  <c r="E27" i="18" s="1"/>
  <c r="F23" i="18" s="1"/>
  <c r="F27" i="18" s="1"/>
  <c r="G23" i="18" s="1"/>
  <c r="G27" i="18" s="1"/>
  <c r="H23" i="18" s="1"/>
  <c r="H27" i="18" s="1"/>
  <c r="I23" i="18" s="1"/>
  <c r="R26" i="19"/>
  <c r="R31" i="19"/>
  <c r="R29" i="19"/>
  <c r="R21" i="19"/>
  <c r="C25" i="15"/>
  <c r="H25" i="15"/>
  <c r="H26" i="15" s="1"/>
  <c r="I25" i="15"/>
  <c r="I26" i="15" s="1"/>
  <c r="J25" i="15"/>
  <c r="J26" i="15" s="1"/>
  <c r="C18" i="15"/>
  <c r="E18" i="15"/>
  <c r="D13" i="15"/>
  <c r="C12" i="15"/>
  <c r="B12" i="15"/>
  <c r="C7" i="15"/>
  <c r="C9" i="15" s="1"/>
  <c r="N25" i="15" s="1"/>
  <c r="D7" i="15"/>
  <c r="D9" i="15" s="1"/>
  <c r="N32" i="15" s="1"/>
  <c r="N33" i="15" s="1"/>
  <c r="B9" i="15"/>
  <c r="N18" i="15" s="1"/>
  <c r="I27" i="18" l="1"/>
  <c r="J23" i="18" s="1"/>
  <c r="N20" i="15"/>
  <c r="E20" i="15"/>
  <c r="C32" i="15"/>
  <c r="C34" i="15" s="1"/>
  <c r="D38" i="15" s="1"/>
  <c r="B32" i="15"/>
  <c r="B33" i="15" s="1"/>
  <c r="J32" i="15"/>
  <c r="J33" i="15" s="1"/>
  <c r="M25" i="15"/>
  <c r="M26" i="15" s="1"/>
  <c r="B27" i="15"/>
  <c r="B34" i="15"/>
  <c r="C38" i="15" s="1"/>
  <c r="J18" i="15"/>
  <c r="J20" i="15" s="1"/>
  <c r="B18" i="15"/>
  <c r="B20" i="15" s="1"/>
  <c r="I32" i="15"/>
  <c r="I34" i="15" s="1"/>
  <c r="J38" i="15" s="1"/>
  <c r="I18" i="15"/>
  <c r="I36" i="15" s="1"/>
  <c r="K49" i="15" s="1"/>
  <c r="G25" i="15"/>
  <c r="G26" i="15" s="1"/>
  <c r="H32" i="15"/>
  <c r="H34" i="15" s="1"/>
  <c r="I38" i="15" s="1"/>
  <c r="D18" i="15"/>
  <c r="D20" i="15" s="1"/>
  <c r="B25" i="15"/>
  <c r="B26" i="15" s="1"/>
  <c r="D25" i="15"/>
  <c r="D26" i="15" s="1"/>
  <c r="D32" i="15"/>
  <c r="D33" i="15" s="1"/>
  <c r="D19" i="15"/>
  <c r="D34" i="15"/>
  <c r="E38" i="15" s="1"/>
  <c r="C36" i="15"/>
  <c r="E49" i="15" s="1"/>
  <c r="C51" i="15" s="1"/>
  <c r="C53" i="15" s="1"/>
  <c r="C20" i="15"/>
  <c r="C19" i="15"/>
  <c r="J27" i="15"/>
  <c r="E19" i="15"/>
  <c r="N19" i="15"/>
  <c r="I27" i="15"/>
  <c r="C27" i="15"/>
  <c r="N27" i="15"/>
  <c r="H18" i="15"/>
  <c r="C26" i="15"/>
  <c r="H27" i="15"/>
  <c r="C33" i="15"/>
  <c r="M18" i="15"/>
  <c r="G18" i="15"/>
  <c r="M32" i="15"/>
  <c r="G32" i="15"/>
  <c r="L18" i="15"/>
  <c r="F18" i="15"/>
  <c r="L25" i="15"/>
  <c r="F25" i="15"/>
  <c r="L32" i="15"/>
  <c r="F32" i="15"/>
  <c r="K18" i="15"/>
  <c r="K25" i="15"/>
  <c r="E25" i="15"/>
  <c r="K32" i="15"/>
  <c r="E32" i="15"/>
  <c r="N34" i="15"/>
  <c r="N26" i="15"/>
  <c r="N36" i="15"/>
  <c r="P49" i="15" s="1"/>
  <c r="O51" i="15" s="1"/>
  <c r="O53" i="15" s="1"/>
  <c r="J27" i="18" l="1"/>
  <c r="K23" i="18" s="1"/>
  <c r="B36" i="15"/>
  <c r="D49" i="15"/>
  <c r="C49" i="15"/>
  <c r="B51" i="15" s="1"/>
  <c r="D51" i="15" s="1"/>
  <c r="J34" i="15"/>
  <c r="K38" i="15" s="1"/>
  <c r="J51" i="15"/>
  <c r="J53" i="15" s="1"/>
  <c r="K54" i="15"/>
  <c r="D53" i="15"/>
  <c r="E54" i="15"/>
  <c r="J36" i="15"/>
  <c r="L49" i="15" s="1"/>
  <c r="D54" i="15"/>
  <c r="E36" i="15"/>
  <c r="G49" i="15" s="1"/>
  <c r="G27" i="15"/>
  <c r="B19" i="15"/>
  <c r="H33" i="15"/>
  <c r="M27" i="15"/>
  <c r="I19" i="15"/>
  <c r="D36" i="15"/>
  <c r="F49" i="15" s="1"/>
  <c r="D27" i="15"/>
  <c r="I20" i="15"/>
  <c r="J19" i="15"/>
  <c r="I33" i="15"/>
  <c r="K27" i="15"/>
  <c r="K26" i="15"/>
  <c r="F20" i="15"/>
  <c r="F19" i="15"/>
  <c r="F36" i="15"/>
  <c r="H49" i="15" s="1"/>
  <c r="K36" i="15"/>
  <c r="M49" i="15" s="1"/>
  <c r="K19" i="15"/>
  <c r="K20" i="15"/>
  <c r="L36" i="15"/>
  <c r="N49" i="15" s="1"/>
  <c r="L19" i="15"/>
  <c r="L20" i="15"/>
  <c r="F33" i="15"/>
  <c r="F34" i="15"/>
  <c r="G34" i="15"/>
  <c r="H38" i="15" s="1"/>
  <c r="G33" i="15"/>
  <c r="E34" i="15"/>
  <c r="F38" i="15" s="1"/>
  <c r="E33" i="15"/>
  <c r="L33" i="15"/>
  <c r="L34" i="15"/>
  <c r="M38" i="15" s="1"/>
  <c r="M34" i="15"/>
  <c r="N38" i="15" s="1"/>
  <c r="M33" i="15"/>
  <c r="G20" i="15"/>
  <c r="G19" i="15"/>
  <c r="G36" i="15"/>
  <c r="I49" i="15" s="1"/>
  <c r="K34" i="15"/>
  <c r="L38" i="15" s="1"/>
  <c r="K33" i="15"/>
  <c r="F26" i="15"/>
  <c r="F27" i="15"/>
  <c r="M20" i="15"/>
  <c r="M36" i="15"/>
  <c r="O49" i="15" s="1"/>
  <c r="M19" i="15"/>
  <c r="E27" i="15"/>
  <c r="E26" i="15"/>
  <c r="L26" i="15"/>
  <c r="L27" i="15"/>
  <c r="H36" i="15"/>
  <c r="J49" i="15" s="1"/>
  <c r="H20" i="15"/>
  <c r="H19" i="15"/>
  <c r="K27" i="18" l="1"/>
  <c r="L23" i="18" s="1"/>
  <c r="D55" i="15"/>
  <c r="E50" i="15" s="1"/>
  <c r="I54" i="15"/>
  <c r="H51" i="15"/>
  <c r="H53" i="15" s="1"/>
  <c r="M51" i="15"/>
  <c r="M53" i="15" s="1"/>
  <c r="N54" i="15"/>
  <c r="I51" i="15"/>
  <c r="I53" i="15" s="1"/>
  <c r="J54" i="15"/>
  <c r="C54" i="15"/>
  <c r="B53" i="15"/>
  <c r="B55" i="15" s="1"/>
  <c r="C50" i="15" s="1"/>
  <c r="C55" i="15" s="1"/>
  <c r="E51" i="15"/>
  <c r="E53" i="15" s="1"/>
  <c r="E55" i="15" s="1"/>
  <c r="F50" i="15" s="1"/>
  <c r="F55" i="15" s="1"/>
  <c r="G50" i="15" s="1"/>
  <c r="G55" i="15" s="1"/>
  <c r="H50" i="15" s="1"/>
  <c r="H55" i="15" s="1"/>
  <c r="I50" i="15" s="1"/>
  <c r="I55" i="15" s="1"/>
  <c r="J50" i="15" s="1"/>
  <c r="J55" i="15" s="1"/>
  <c r="F54" i="15"/>
  <c r="G51" i="15"/>
  <c r="G53" i="15" s="1"/>
  <c r="H54" i="15"/>
  <c r="F51" i="15"/>
  <c r="F53" i="15" s="1"/>
  <c r="G54" i="15"/>
  <c r="K51" i="15"/>
  <c r="K53" i="15" s="1"/>
  <c r="L54" i="15"/>
  <c r="O54" i="15"/>
  <c r="N51" i="15"/>
  <c r="N53" i="15" s="1"/>
  <c r="L51" i="15"/>
  <c r="L53" i="15" s="1"/>
  <c r="M54" i="15"/>
  <c r="G38" i="15"/>
  <c r="L27" i="18" l="1"/>
  <c r="M23" i="18" s="1"/>
  <c r="M27" i="18" s="1"/>
  <c r="B31" i="18" s="1"/>
  <c r="B35" i="18" s="1"/>
  <c r="C31" i="18" s="1"/>
  <c r="C35" i="18" s="1"/>
  <c r="D31" i="18" s="1"/>
  <c r="D35" i="18" s="1"/>
  <c r="E31" i="18" s="1"/>
  <c r="E35" i="18" s="1"/>
  <c r="F31" i="18" s="1"/>
  <c r="F35" i="18" s="1"/>
  <c r="G31" i="18" s="1"/>
  <c r="G35" i="18" s="1"/>
  <c r="H31" i="18" s="1"/>
  <c r="H35" i="18" s="1"/>
  <c r="I31" i="18" s="1"/>
  <c r="K50" i="15"/>
  <c r="K55" i="15" s="1"/>
  <c r="L50" i="15" l="1"/>
  <c r="L55" i="15" s="1"/>
  <c r="M50" i="15" l="1"/>
  <c r="M55" i="15" s="1"/>
  <c r="N50" i="15" l="1"/>
  <c r="N55" i="15" s="1"/>
  <c r="O50" i="15" s="1"/>
  <c r="O55" i="15" s="1"/>
  <c r="P50" i="15" s="1"/>
  <c r="D30" i="12" l="1"/>
  <c r="C26" i="12" s="1"/>
  <c r="C36" i="12" l="1"/>
  <c r="E26" i="12"/>
  <c r="E36" i="12" s="1"/>
  <c r="C21" i="13" l="1"/>
  <c r="C25" i="13" l="1"/>
  <c r="C23" i="13"/>
  <c r="C30" i="13"/>
  <c r="C34" i="13" s="1"/>
  <c r="E38" i="12"/>
  <c r="C36" i="13" l="1"/>
  <c r="C7" i="13"/>
  <c r="C10" i="13" s="1"/>
  <c r="C17" i="13" s="1"/>
  <c r="F36" i="13" l="1"/>
</calcChain>
</file>

<file path=xl/sharedStrings.xml><?xml version="1.0" encoding="utf-8"?>
<sst xmlns="http://schemas.openxmlformats.org/spreadsheetml/2006/main" count="743" uniqueCount="418">
  <si>
    <t xml:space="preserve">Project </t>
  </si>
  <si>
    <t>Cover Page</t>
  </si>
  <si>
    <t xml:space="preserve">This page </t>
  </si>
  <si>
    <t>IS</t>
  </si>
  <si>
    <t>BS</t>
  </si>
  <si>
    <t xml:space="preserve">Startup </t>
  </si>
  <si>
    <t>Assets</t>
  </si>
  <si>
    <t>HR Exp</t>
  </si>
  <si>
    <t>Financing</t>
  </si>
  <si>
    <t>Other Exp</t>
  </si>
  <si>
    <t>NAICS %</t>
  </si>
  <si>
    <t>NAICS $</t>
  </si>
  <si>
    <t>LEGEND</t>
  </si>
  <si>
    <t>User input cell</t>
  </si>
  <si>
    <t>Check calculations</t>
  </si>
  <si>
    <t>Memo</t>
  </si>
  <si>
    <t>Instructions</t>
  </si>
  <si>
    <t xml:space="preserve">Statement of Proof of Work </t>
  </si>
  <si>
    <t xml:space="preserve">Cash Flow Statement </t>
  </si>
  <si>
    <t>Proforma Balance Sheet(s)</t>
  </si>
  <si>
    <t xml:space="preserve">Sales Projections, Inventory and Cost of goods sold </t>
  </si>
  <si>
    <t>Capital Purchases and Depreciation</t>
  </si>
  <si>
    <t>Financing including investments, loans and lines of Credit</t>
  </si>
  <si>
    <t>Other expenses including location, marketing, delivery, etc.</t>
  </si>
  <si>
    <t>2022 Industry Performance Data Sheet Unincorporated %</t>
  </si>
  <si>
    <t>2022 Industry Performance Data Sheet Unincorporated $</t>
  </si>
  <si>
    <t>Theses cells are calculated and should not be changed</t>
  </si>
  <si>
    <t>Memo  field linked to original source</t>
  </si>
  <si>
    <t>"I have read and understand the rules regarding plagiarism/copying/cheating. I may have discussed with others but at NO time did I allow my work to be copied nor did I copy rom another student (past or present). I understand I may receive a zero on this assignment (one or both parts) and receive disciplinary action of turning in word that is not solely my own."</t>
  </si>
  <si>
    <t>Signed by: Miraj Sangani</t>
  </si>
  <si>
    <t>Contents</t>
  </si>
  <si>
    <t>Calculated Cells</t>
  </si>
  <si>
    <t>CFF</t>
  </si>
  <si>
    <t>Sales + Inventory+Cost</t>
  </si>
  <si>
    <t>Sales Projections</t>
  </si>
  <si>
    <t>% of Sales Mix</t>
  </si>
  <si>
    <t>Year 1 Estimated Sales</t>
  </si>
  <si>
    <t>Year 2 Estimated Sales</t>
  </si>
  <si>
    <t xml:space="preserve">Cash Sales- % of Total Retail sales </t>
  </si>
  <si>
    <t xml:space="preserve">Net - 30 </t>
  </si>
  <si>
    <t xml:space="preserve">Factory </t>
  </si>
  <si>
    <t xml:space="preserve">Tradeshows/Markets </t>
  </si>
  <si>
    <t xml:space="preserve">Credit Card Sales- % of Total Retail Sales </t>
  </si>
  <si>
    <t xml:space="preserve">Year 1 sales </t>
  </si>
  <si>
    <t xml:space="preserve">Factory Seasonality Pattern </t>
  </si>
  <si>
    <t>Total Factory Sales</t>
  </si>
  <si>
    <t>Factory Sales-Cash</t>
  </si>
  <si>
    <t>Factory Sales-Credit</t>
  </si>
  <si>
    <t xml:space="preserve">Total Sales </t>
  </si>
  <si>
    <t xml:space="preserve">Tradeshows Seasonality Pattern </t>
  </si>
  <si>
    <t>Total Tradeshows Sales</t>
  </si>
  <si>
    <t>Tradeshows Sales-Cash</t>
  </si>
  <si>
    <t>Tradeshows Sales-Credit</t>
  </si>
  <si>
    <t>Preorders</t>
  </si>
  <si>
    <t xml:space="preserve">Preorders Seasonality Pattern </t>
  </si>
  <si>
    <t>Total Preorders Sales</t>
  </si>
  <si>
    <t>Preorders Sales-Credit</t>
  </si>
  <si>
    <t>Net 30 Preorder Sales Collected (A/R)</t>
  </si>
  <si>
    <t>Preorders Sales-Net 30</t>
  </si>
  <si>
    <t xml:space="preserve">Inventory and Cost of Goods Sold </t>
  </si>
  <si>
    <t>Memo Total Sales</t>
  </si>
  <si>
    <t>Inventory on hand</t>
  </si>
  <si>
    <t xml:space="preserve">Plus: Safety stock purchased </t>
  </si>
  <si>
    <t>Subtotal: Purchases</t>
  </si>
  <si>
    <t>Less: Material cost of goods sold</t>
  </si>
  <si>
    <t xml:space="preserve">Equals ending inventory on hand </t>
  </si>
  <si>
    <t xml:space="preserve">Notes </t>
  </si>
  <si>
    <t>Inventory is purchased the month before it is to be sold. Jan-26 Sales are required to calculate Dec-25</t>
  </si>
  <si>
    <t xml:space="preserve">Safety Stock purchases are manually entered for the month they are required </t>
  </si>
  <si>
    <t>Start-up</t>
  </si>
  <si>
    <t>Startup + Jan-25</t>
  </si>
  <si>
    <t xml:space="preserve">One month in advance of sales </t>
  </si>
  <si>
    <t>Startup inventory purchases are calculated here and are included on the CFF in the first month (jan). The column S+jan-25 shows the result of this calculations and is tied to CFF</t>
  </si>
  <si>
    <t>Estimated Total sales for year 1( Jan 2025- Dec 2025)</t>
  </si>
  <si>
    <t xml:space="preserve"> Advance Stock</t>
  </si>
  <si>
    <t>Monthly</t>
  </si>
  <si>
    <t>Utilities</t>
  </si>
  <si>
    <t>Telephone/Internet</t>
  </si>
  <si>
    <t>Lease and Location Expense</t>
  </si>
  <si>
    <t>Sq. Footage</t>
  </si>
  <si>
    <t>Rental Cost Per ft per year</t>
  </si>
  <si>
    <t>CAM Cost per ft per year</t>
  </si>
  <si>
    <t>Annual Lease And Location Expenses</t>
  </si>
  <si>
    <t>Yearly</t>
  </si>
  <si>
    <t>Monthly Total Lease and Location Expense</t>
  </si>
  <si>
    <t>Professional Fees and Memberships</t>
  </si>
  <si>
    <t xml:space="preserve">Greater K-W Chamber of commerce </t>
  </si>
  <si>
    <t>Fine Chocolate Industry Association (FCIA)</t>
  </si>
  <si>
    <t>Lawyer and Accountant</t>
  </si>
  <si>
    <t>Subtotal Professional Fees and Memberships</t>
  </si>
  <si>
    <t>Marketing</t>
  </si>
  <si>
    <t>Display Booth at Chamber Events</t>
  </si>
  <si>
    <t>Tradeshows and Markets</t>
  </si>
  <si>
    <t>Subtotal Marketing</t>
  </si>
  <si>
    <t>Delivery Monthly</t>
  </si>
  <si>
    <t>Extra Delivery Fees</t>
  </si>
  <si>
    <t>Subtotal Delivery, Maintenance and Repairs</t>
  </si>
  <si>
    <t>Insurance - Content</t>
  </si>
  <si>
    <t>Other Expenses</t>
  </si>
  <si>
    <t>Bank Charges</t>
  </si>
  <si>
    <t>Total</t>
  </si>
  <si>
    <t>Owner's Drawings</t>
  </si>
  <si>
    <t>Owner Draw Per Month</t>
  </si>
  <si>
    <t>Owner Gov't Payroll Tax %</t>
  </si>
  <si>
    <t>Owner Benefits Per Month</t>
  </si>
  <si>
    <t xml:space="preserve">Owner % Production </t>
  </si>
  <si>
    <t>Wages and Salary Factors</t>
  </si>
  <si>
    <t xml:space="preserve">Full Time Hrs Per Month </t>
  </si>
  <si>
    <t>Full Time Wages Per Hour</t>
  </si>
  <si>
    <t>Full Time Payroll Tax and Benefits %</t>
  </si>
  <si>
    <t xml:space="preserve">Part Time Wage Per Hour </t>
  </si>
  <si>
    <t>Part Time Payroll Tax and Benefits %</t>
  </si>
  <si>
    <t>Calculation Of wages and Salaries</t>
  </si>
  <si>
    <t xml:space="preserve">Part time Employee - Hours Per Month </t>
  </si>
  <si>
    <t xml:space="preserve">Part Time Wages </t>
  </si>
  <si>
    <t xml:space="preserve">Part Time Benefits and Payroll Taxes </t>
  </si>
  <si>
    <t xml:space="preserve">Full Time Wages </t>
  </si>
  <si>
    <t>Full Time Benefits and Payroll Taxes</t>
  </si>
  <si>
    <t>Total Wages and Benefits</t>
  </si>
  <si>
    <t>Starts in May 2025</t>
  </si>
  <si>
    <t xml:space="preserve">Description </t>
  </si>
  <si>
    <t xml:space="preserve">Cost </t>
  </si>
  <si>
    <t>useful life (yrs)</t>
  </si>
  <si>
    <t xml:space="preserve">Value end </t>
  </si>
  <si>
    <t>Leasehold Improvements</t>
  </si>
  <si>
    <t xml:space="preserve">Racking, Manufacturing Equipment </t>
  </si>
  <si>
    <t>Office Computer and POS</t>
  </si>
  <si>
    <t xml:space="preserve">Van </t>
  </si>
  <si>
    <t xml:space="preserve">Total </t>
  </si>
  <si>
    <t>Yearly Depreciation Summary</t>
  </si>
  <si>
    <t>Original Cost</t>
  </si>
  <si>
    <t>Accumulated Depreciation</t>
  </si>
  <si>
    <t xml:space="preserve">Interest Rate </t>
  </si>
  <si>
    <t xml:space="preserve">Period </t>
  </si>
  <si>
    <t xml:space="preserve">Closing balance </t>
  </si>
  <si>
    <t>Opening balance</t>
  </si>
  <si>
    <t xml:space="preserve">Financing </t>
  </si>
  <si>
    <t xml:space="preserve">Credit Card Fees </t>
  </si>
  <si>
    <t xml:space="preserve">Line of Credit Factors </t>
  </si>
  <si>
    <t>Interest Rate</t>
  </si>
  <si>
    <t>Interest Rate/mth</t>
  </si>
  <si>
    <t>Credit Limit</t>
  </si>
  <si>
    <t>Contingency Amount</t>
  </si>
  <si>
    <t xml:space="preserve">Loan Calculation Worksheet- Parent's Loan </t>
  </si>
  <si>
    <t>Amount of Loan (PV)</t>
  </si>
  <si>
    <t>Final Loan Balance (FV)</t>
  </si>
  <si>
    <t>Monthly Payment</t>
  </si>
  <si>
    <t xml:space="preserve">Loan Payment Table - Parent's Loan </t>
  </si>
  <si>
    <t xml:space="preserve">Year 1 </t>
  </si>
  <si>
    <t xml:space="preserve">Payment Number </t>
  </si>
  <si>
    <t>Payment</t>
  </si>
  <si>
    <t>Interest portion of payment</t>
  </si>
  <si>
    <t>Principal portion of payment</t>
  </si>
  <si>
    <t xml:space="preserve">Year 2 </t>
  </si>
  <si>
    <t>The Chocolate Shop</t>
  </si>
  <si>
    <t>Startup Expenses</t>
  </si>
  <si>
    <t>Description</t>
  </si>
  <si>
    <t>Expense</t>
  </si>
  <si>
    <t>Asset (Capital)</t>
  </si>
  <si>
    <t>Inventory</t>
  </si>
  <si>
    <t xml:space="preserve">Business Registration </t>
  </si>
  <si>
    <t>Chamber Membership</t>
  </si>
  <si>
    <t>Inventory for Jan Sales</t>
  </si>
  <si>
    <t>Inventory Safety Stock</t>
  </si>
  <si>
    <t>Computer Equipment and POS</t>
  </si>
  <si>
    <t>Racking, Manufacturing Equipment</t>
  </si>
  <si>
    <t>Lawyer</t>
  </si>
  <si>
    <t>Computer Software</t>
  </si>
  <si>
    <t>Internet Installation</t>
  </si>
  <si>
    <t>Utilities (startup period)</t>
  </si>
  <si>
    <t xml:space="preserve">Initial advertising and logo design </t>
  </si>
  <si>
    <t>Trade Booth Equipment</t>
  </si>
  <si>
    <t>Outdoor Signage and permit</t>
  </si>
  <si>
    <t>FICA Membership and Training</t>
  </si>
  <si>
    <t>Miscellaneous Startup</t>
  </si>
  <si>
    <t>Total Start-up Expenses</t>
  </si>
  <si>
    <t>The Chocolate shop</t>
  </si>
  <si>
    <t>Startup Cash Requirements</t>
  </si>
  <si>
    <t>Inflows</t>
  </si>
  <si>
    <t>Owner Investment</t>
  </si>
  <si>
    <t>Startup Requirement = Startup Expenses + 3 to 6 months operating expenses - Investment</t>
  </si>
  <si>
    <t>Human Resource Expenses</t>
  </si>
  <si>
    <t>Assets and Depreciation</t>
  </si>
  <si>
    <t>Internet Domain</t>
  </si>
  <si>
    <t>Utilities Installation</t>
  </si>
  <si>
    <t xml:space="preserve">Other Expenses </t>
  </si>
  <si>
    <t xml:space="preserve">Notes: </t>
  </si>
  <si>
    <t xml:space="preserve">Assets and Inventory expenses are referenced from "Asset" and "Inventory" worksheet respectively. </t>
  </si>
  <si>
    <t>January 2025 To December 2025</t>
  </si>
  <si>
    <t>Notes</t>
  </si>
  <si>
    <t>Year 1 Total</t>
  </si>
  <si>
    <t>Sales+Inv</t>
  </si>
  <si>
    <t>Factory Sales- Cash</t>
  </si>
  <si>
    <t>Factory Sales- Cr. Card</t>
  </si>
  <si>
    <t>Tradeshow sales - Cash</t>
  </si>
  <si>
    <t>Tradeshow sales - Cr. Card</t>
  </si>
  <si>
    <t>Total Tradeshow Sales</t>
  </si>
  <si>
    <t>Preorder Sales- Cr. Card</t>
  </si>
  <si>
    <t>Preorder Sales- Net 30 (Collect 30 days later)</t>
  </si>
  <si>
    <t>Total Preorder Sales</t>
  </si>
  <si>
    <t>Total Sales</t>
  </si>
  <si>
    <t>Startup</t>
  </si>
  <si>
    <t>Owner's Investment</t>
  </si>
  <si>
    <t>Loan</t>
  </si>
  <si>
    <t>Total Inflows</t>
  </si>
  <si>
    <t>Outflows</t>
  </si>
  <si>
    <t>HRExp</t>
  </si>
  <si>
    <t>Wages and Benefits (total)</t>
  </si>
  <si>
    <t>OtherExp</t>
  </si>
  <si>
    <t xml:space="preserve">Repairs and Maintenance </t>
  </si>
  <si>
    <t xml:space="preserve">Utilities and Telephone </t>
  </si>
  <si>
    <t xml:space="preserve">Lease and Location Expense </t>
  </si>
  <si>
    <t>Delivery, Maintenance and Repairs</t>
  </si>
  <si>
    <t>Insurance</t>
  </si>
  <si>
    <t xml:space="preserve">Bank Charges </t>
  </si>
  <si>
    <t>Interest Repayment Loan</t>
  </si>
  <si>
    <t xml:space="preserve">Interest Repayment LofC </t>
  </si>
  <si>
    <t>Operating Outflow Subtotal</t>
  </si>
  <si>
    <t>Asset (Equipment) Purchases</t>
  </si>
  <si>
    <t>Principal Repayment LofC</t>
  </si>
  <si>
    <t>Principal Repayment Loan</t>
  </si>
  <si>
    <t>Inventory (Merchandise) Purchases</t>
  </si>
  <si>
    <t>HR</t>
  </si>
  <si>
    <t>Non-operating Outflow Subtotal</t>
  </si>
  <si>
    <t>Total Outflow</t>
  </si>
  <si>
    <t xml:space="preserve">Beginning Cash on hand </t>
  </si>
  <si>
    <t>Add: Total Inflows</t>
  </si>
  <si>
    <t xml:space="preserve">Total Cash Before Borrowing </t>
  </si>
  <si>
    <t>Memo: Contingency Amt.</t>
  </si>
  <si>
    <t xml:space="preserve">Total to Borrow </t>
  </si>
  <si>
    <t xml:space="preserve">Ending Cash On hand </t>
  </si>
  <si>
    <t>The Chocolate Shop Jan-25 to Dec-25</t>
  </si>
  <si>
    <t>The Chocolate Shop % of sales</t>
  </si>
  <si>
    <t>Industry Benchmark % of sales</t>
  </si>
  <si>
    <t>Industry Canada  Line Titles</t>
  </si>
  <si>
    <t>Sales</t>
  </si>
  <si>
    <t>Factory</t>
  </si>
  <si>
    <t>Tradeshow</t>
  </si>
  <si>
    <t>Preorder</t>
  </si>
  <si>
    <t xml:space="preserve">Cost of Goods Sold </t>
  </si>
  <si>
    <t>Labour</t>
  </si>
  <si>
    <t>Material</t>
  </si>
  <si>
    <t>Total CoGS</t>
  </si>
  <si>
    <t>Gross Profit</t>
  </si>
  <si>
    <t xml:space="preserve">Operating expenses </t>
  </si>
  <si>
    <t xml:space="preserve">Depreciation </t>
  </si>
  <si>
    <t>Start-up Expenses</t>
  </si>
  <si>
    <t>Repairs and Maintenance</t>
  </si>
  <si>
    <t>Utilities and Telephone</t>
  </si>
  <si>
    <t>Rent</t>
  </si>
  <si>
    <t xml:space="preserve">Interest and Bank Charges </t>
  </si>
  <si>
    <t xml:space="preserve">Interest Repayment Loan </t>
  </si>
  <si>
    <t>Interest Repayment LoC</t>
  </si>
  <si>
    <t>Advertising and Promotions</t>
  </si>
  <si>
    <t>Delivery, Shipping and Warehouse Expenses</t>
  </si>
  <si>
    <t>Total Operating Exp</t>
  </si>
  <si>
    <t>Total Operating Profit Before Taxes</t>
  </si>
  <si>
    <t>Start-up Expenses are not included in % calculation since it is a one time charge</t>
  </si>
  <si>
    <t>as of December 31, 2025</t>
  </si>
  <si>
    <t>Current Assets</t>
  </si>
  <si>
    <t>Cash on hand</t>
  </si>
  <si>
    <t>Inventories</t>
  </si>
  <si>
    <t>A/R</t>
  </si>
  <si>
    <t>Total Current Assets</t>
  </si>
  <si>
    <t>Long Term Assets</t>
  </si>
  <si>
    <t xml:space="preserve">LT  Assets Original Value </t>
  </si>
  <si>
    <t xml:space="preserve">Total Net LT Assets </t>
  </si>
  <si>
    <t>Total Assets</t>
  </si>
  <si>
    <t xml:space="preserve">Liabilities and Equity </t>
  </si>
  <si>
    <t xml:space="preserve">Current Liabilities </t>
  </si>
  <si>
    <t>Line of Credit</t>
  </si>
  <si>
    <t xml:space="preserve">Long term Liabilities </t>
  </si>
  <si>
    <t xml:space="preserve">Total Liabilities </t>
  </si>
  <si>
    <t>Equity</t>
  </si>
  <si>
    <t xml:space="preserve">Opening owner's Equity </t>
  </si>
  <si>
    <t>Add profit (Less Loss)</t>
  </si>
  <si>
    <t>Add Owner Inflow</t>
  </si>
  <si>
    <t>Add Capital Increase</t>
  </si>
  <si>
    <t>Less Owner's Drawings</t>
  </si>
  <si>
    <t>Owner's Equity</t>
  </si>
  <si>
    <t xml:space="preserve">Total Liabilities + Equity </t>
  </si>
  <si>
    <t>Less: Total Outflows</t>
  </si>
  <si>
    <t>Fields that can be changed and reflected in the calculations</t>
  </si>
  <si>
    <t xml:space="preserve">Cost of good sold </t>
  </si>
  <si>
    <t>Year 2 Estimated Sales Increase</t>
  </si>
  <si>
    <t xml:space="preserve">Calculated cells will showcase referenced cell from respective worksheet. </t>
  </si>
  <si>
    <t>Accountant</t>
  </si>
  <si>
    <t xml:space="preserve">NAICS Lower Middle Quartile used for Comparison since the revenue falls into that range </t>
  </si>
  <si>
    <t>Less: Accumulated Depreciation</t>
  </si>
  <si>
    <t>Yearly Depreciation</t>
  </si>
  <si>
    <t>Interest Rate/month</t>
  </si>
  <si>
    <t>Repairs, Maintenance and cleaning</t>
  </si>
  <si>
    <t>Subtotal Utilities and Telephone</t>
  </si>
  <si>
    <t>Calculations used to validate the spreadsheet. This can ignored and should note printed.</t>
  </si>
  <si>
    <t>Instructions are included throughout the template in the boxes show in this colour</t>
  </si>
  <si>
    <t xml:space="preserve">This is a set of financial statement prepared for the owner of Chocolate Shop to help with forecasting, budgeting, and overall financial analysis of a start-up business in chocolate manufacturing and retaining. </t>
  </si>
  <si>
    <t>Proforma Income Statement(s) Including Comparisons to Industry Performance Data.</t>
  </si>
  <si>
    <t>Startup expenses are entered here. Includes a Statement of Cash and Startup Income Statement and Balance Sheet.</t>
  </si>
  <si>
    <t>Owner Drawings and Employee Expenses</t>
  </si>
  <si>
    <t>The Chocolate Shop- Fall 2024</t>
  </si>
  <si>
    <t>Whole
industry
(reliability)</t>
  </si>
  <si>
    <t>Bottom
quartile
(25%)</t>
  </si>
  <si>
    <t>Lower
middle
(25%)</t>
  </si>
  <si>
    <t>Upper
middle
(25%)</t>
  </si>
  <si>
    <t>Top
quartile
(25%)</t>
  </si>
  <si>
    <t>Percentage of
businesses
reporting</t>
  </si>
  <si>
    <t/>
  </si>
  <si>
    <t>Number of businesses</t>
  </si>
  <si>
    <t>Revenue range:</t>
  </si>
  <si>
    <t>Low Value ($000)</t>
  </si>
  <si>
    <t>High Value ($000)</t>
  </si>
  <si>
    <t>Revenues and expenses</t>
  </si>
  <si>
    <t>(percentage of total revenue) - Averages</t>
  </si>
  <si>
    <t>Total revenue</t>
  </si>
  <si>
    <t>Sales of goods and services</t>
  </si>
  <si>
    <t>N/A</t>
  </si>
  <si>
    <t>All other revenues</t>
  </si>
  <si>
    <t>Cost of sales (direct expenses)</t>
  </si>
  <si>
    <t>Wages and benefits</t>
  </si>
  <si>
    <r>
      <t>14.0</t>
    </r>
    <r>
      <rPr>
        <vertAlign val="superscript"/>
        <sz val="10"/>
        <color indexed="12"/>
        <rFont val="Arial"/>
        <family val="2"/>
      </rPr>
      <t>A</t>
    </r>
  </si>
  <si>
    <t>Purchases, materials and sub-contracts</t>
  </si>
  <si>
    <r>
      <t>37.8</t>
    </r>
    <r>
      <rPr>
        <vertAlign val="superscript"/>
        <sz val="10"/>
        <color indexed="12"/>
        <rFont val="Arial"/>
        <family val="2"/>
      </rPr>
      <t>A</t>
    </r>
  </si>
  <si>
    <t>Opening inventory</t>
  </si>
  <si>
    <r>
      <t>11.4</t>
    </r>
    <r>
      <rPr>
        <vertAlign val="superscript"/>
        <sz val="10"/>
        <color indexed="12"/>
        <rFont val="Arial"/>
        <family val="2"/>
      </rPr>
      <t>A</t>
    </r>
  </si>
  <si>
    <t>Closing inventory</t>
  </si>
  <si>
    <r>
      <t>12.1</t>
    </r>
    <r>
      <rPr>
        <vertAlign val="superscript"/>
        <sz val="10"/>
        <color indexed="12"/>
        <rFont val="Arial"/>
        <family val="2"/>
      </rPr>
      <t>A</t>
    </r>
  </si>
  <si>
    <t>Operating expenses (indirect expenses)</t>
  </si>
  <si>
    <r>
      <t>42.8</t>
    </r>
    <r>
      <rPr>
        <vertAlign val="superscript"/>
        <sz val="10"/>
        <color indexed="12"/>
        <rFont val="Arial"/>
        <family val="2"/>
      </rPr>
      <t>A</t>
    </r>
  </si>
  <si>
    <t>Labour and commissions</t>
  </si>
  <si>
    <r>
      <t>17.7</t>
    </r>
    <r>
      <rPr>
        <vertAlign val="superscript"/>
        <sz val="10"/>
        <color indexed="12"/>
        <rFont val="Arial"/>
        <family val="2"/>
      </rPr>
      <t>A</t>
    </r>
  </si>
  <si>
    <t>Amortization and depletion</t>
  </si>
  <si>
    <r>
      <t>3.0</t>
    </r>
    <r>
      <rPr>
        <vertAlign val="superscript"/>
        <sz val="10"/>
        <color indexed="12"/>
        <rFont val="Arial"/>
        <family val="2"/>
      </rPr>
      <t>A</t>
    </r>
  </si>
  <si>
    <t>Repairs and maintenance</t>
  </si>
  <si>
    <r>
      <t>1.3</t>
    </r>
    <r>
      <rPr>
        <vertAlign val="superscript"/>
        <sz val="10"/>
        <color indexed="12"/>
        <rFont val="Arial"/>
        <family val="2"/>
      </rPr>
      <t>A</t>
    </r>
  </si>
  <si>
    <t>Utilities and telephone/telecommunication</t>
  </si>
  <si>
    <r>
      <t>1.5</t>
    </r>
    <r>
      <rPr>
        <vertAlign val="superscript"/>
        <sz val="10"/>
        <color indexed="12"/>
        <rFont val="Arial"/>
        <family val="2"/>
      </rPr>
      <t>A</t>
    </r>
  </si>
  <si>
    <r>
      <t>5.6</t>
    </r>
    <r>
      <rPr>
        <vertAlign val="superscript"/>
        <sz val="10"/>
        <color indexed="12"/>
        <rFont val="Arial"/>
        <family val="2"/>
      </rPr>
      <t>A</t>
    </r>
  </si>
  <si>
    <t>Interest and bank charges</t>
  </si>
  <si>
    <r>
      <t>1.1</t>
    </r>
    <r>
      <rPr>
        <vertAlign val="superscript"/>
        <sz val="10"/>
        <color indexed="12"/>
        <rFont val="Arial"/>
        <family val="2"/>
      </rPr>
      <t>A</t>
    </r>
  </si>
  <si>
    <t>Professional and business fees</t>
  </si>
  <si>
    <r>
      <t>1.7</t>
    </r>
    <r>
      <rPr>
        <vertAlign val="superscript"/>
        <sz val="10"/>
        <color indexed="12"/>
        <rFont val="Arial"/>
        <family val="2"/>
      </rPr>
      <t>A</t>
    </r>
  </si>
  <si>
    <t>Advertising and promotion</t>
  </si>
  <si>
    <r>
      <t>2.8</t>
    </r>
    <r>
      <rPr>
        <vertAlign val="superscript"/>
        <sz val="10"/>
        <color indexed="12"/>
        <rFont val="Arial"/>
        <family val="2"/>
      </rPr>
      <t>A</t>
    </r>
  </si>
  <si>
    <t>Delivery, shipping and warehouse expenses</t>
  </si>
  <si>
    <r>
      <t>0.5</t>
    </r>
    <r>
      <rPr>
        <vertAlign val="superscript"/>
        <sz val="10"/>
        <color indexed="12"/>
        <rFont val="Arial"/>
        <family val="2"/>
      </rPr>
      <t>A</t>
    </r>
  </si>
  <si>
    <r>
      <t>0.9</t>
    </r>
    <r>
      <rPr>
        <vertAlign val="superscript"/>
        <sz val="10"/>
        <color indexed="12"/>
        <rFont val="Arial"/>
        <family val="2"/>
      </rPr>
      <t>A</t>
    </r>
  </si>
  <si>
    <t>Other expenses</t>
  </si>
  <si>
    <r>
      <t>6.7</t>
    </r>
    <r>
      <rPr>
        <vertAlign val="superscript"/>
        <sz val="10"/>
        <color indexed="12"/>
        <rFont val="Arial"/>
        <family val="2"/>
      </rPr>
      <t>A</t>
    </r>
  </si>
  <si>
    <t>Total expenses</t>
  </si>
  <si>
    <r>
      <t>93.9</t>
    </r>
    <r>
      <rPr>
        <vertAlign val="superscript"/>
        <sz val="10"/>
        <color indexed="12"/>
        <rFont val="Arial"/>
        <family val="2"/>
      </rPr>
      <t>A</t>
    </r>
  </si>
  <si>
    <t>Net profit/loss</t>
  </si>
  <si>
    <r>
      <t>6.1</t>
    </r>
    <r>
      <rPr>
        <vertAlign val="superscript"/>
        <sz val="10"/>
        <color indexed="12"/>
        <rFont val="Arial"/>
        <family val="2"/>
      </rPr>
      <t>A</t>
    </r>
  </si>
  <si>
    <t>(thousands of dollars) - Averages</t>
  </si>
  <si>
    <t>Financial ratios</t>
  </si>
  <si>
    <t>Averages</t>
  </si>
  <si>
    <t>Interest coverage ratio</t>
  </si>
  <si>
    <t>Gross margin (%)</t>
  </si>
  <si>
    <t>Profitable vs Non-profitable businesses</t>
  </si>
  <si>
    <t>(thousands of dollars)</t>
  </si>
  <si>
    <t>Profitable</t>
  </si>
  <si>
    <t>Percentage of businesses (%)</t>
  </si>
  <si>
    <r>
      <t>666.2</t>
    </r>
    <r>
      <rPr>
        <vertAlign val="superscript"/>
        <sz val="10"/>
        <color indexed="12"/>
        <rFont val="Arial"/>
        <family val="2"/>
      </rPr>
      <t>A</t>
    </r>
  </si>
  <si>
    <r>
      <t>572.2</t>
    </r>
    <r>
      <rPr>
        <vertAlign val="superscript"/>
        <sz val="10"/>
        <color indexed="12"/>
        <rFont val="Arial"/>
        <family val="2"/>
      </rPr>
      <t>A</t>
    </r>
  </si>
  <si>
    <t xml:space="preserve">Net profit </t>
  </si>
  <si>
    <r>
      <t>94.0</t>
    </r>
    <r>
      <rPr>
        <vertAlign val="superscript"/>
        <sz val="10"/>
        <color indexed="12"/>
        <rFont val="Arial"/>
        <family val="2"/>
      </rPr>
      <t>A</t>
    </r>
  </si>
  <si>
    <t>Non-Profitable</t>
  </si>
  <si>
    <r>
      <t>515.8</t>
    </r>
    <r>
      <rPr>
        <vertAlign val="superscript"/>
        <sz val="10"/>
        <color indexed="12"/>
        <rFont val="Arial"/>
        <family val="2"/>
      </rPr>
      <t>A</t>
    </r>
  </si>
  <si>
    <r>
      <t>579.8</t>
    </r>
    <r>
      <rPr>
        <vertAlign val="superscript"/>
        <sz val="10"/>
        <color indexed="12"/>
        <rFont val="Arial"/>
        <family val="2"/>
      </rPr>
      <t>A</t>
    </r>
  </si>
  <si>
    <t>Net loss</t>
  </si>
  <si>
    <t>Profile</t>
  </si>
  <si>
    <t>Revenue range</t>
  </si>
  <si>
    <t>Annual revenues $30,000 - $5,000,000</t>
  </si>
  <si>
    <t>Provinces / Territory / Canada</t>
  </si>
  <si>
    <t>Canada</t>
  </si>
  <si>
    <t>Incorporation status</t>
  </si>
  <si>
    <t>All businesses</t>
  </si>
  <si>
    <t>Distribution by</t>
  </si>
  <si>
    <t>Value in</t>
  </si>
  <si>
    <t>Percentage</t>
  </si>
  <si>
    <t>Data year:</t>
  </si>
  <si>
    <t>Industry</t>
  </si>
  <si>
    <t>NAICS 311352 - Confectionery manufacturing from purchased chocolate</t>
  </si>
  <si>
    <t>Legend for quality Indicators:</t>
  </si>
  <si>
    <t>A=Excellent
B=Very good
C=Good
D=Acceptable
E=Use with caution</t>
  </si>
  <si>
    <r>
      <t>51.0</t>
    </r>
    <r>
      <rPr>
        <b/>
        <vertAlign val="superscript"/>
        <sz val="10"/>
        <color indexed="12"/>
        <rFont val="Arial"/>
        <family val="2"/>
      </rPr>
      <t>A</t>
    </r>
  </si>
  <si>
    <t xml:space="preserve"> Balance sheet information is not available for all businesses and unincorporated businesses under the incorporation status.</t>
  </si>
  <si>
    <t>Note:</t>
  </si>
  <si>
    <r>
      <t>-64.1</t>
    </r>
    <r>
      <rPr>
        <b/>
        <vertAlign val="superscript"/>
        <sz val="10"/>
        <color indexed="12"/>
        <rFont val="Arial"/>
        <family val="2"/>
      </rPr>
      <t>A</t>
    </r>
  </si>
  <si>
    <r>
      <t>85.8</t>
    </r>
    <r>
      <rPr>
        <vertAlign val="superscript"/>
        <sz val="10"/>
        <color indexed="12"/>
        <rFont val="Arial"/>
        <family val="2"/>
      </rPr>
      <t>A</t>
    </r>
  </si>
  <si>
    <r>
      <t>231.6</t>
    </r>
    <r>
      <rPr>
        <vertAlign val="superscript"/>
        <sz val="10"/>
        <color indexed="12"/>
        <rFont val="Arial"/>
        <family val="2"/>
      </rPr>
      <t>A</t>
    </r>
  </si>
  <si>
    <r>
      <t>69.6</t>
    </r>
    <r>
      <rPr>
        <vertAlign val="superscript"/>
        <sz val="10"/>
        <color indexed="12"/>
        <rFont val="Arial"/>
        <family val="2"/>
      </rPr>
      <t>A</t>
    </r>
  </si>
  <si>
    <r>
      <t>74.4</t>
    </r>
    <r>
      <rPr>
        <vertAlign val="superscript"/>
        <sz val="10"/>
        <color indexed="12"/>
        <rFont val="Arial"/>
        <family val="2"/>
      </rPr>
      <t>A</t>
    </r>
  </si>
  <si>
    <r>
      <t>108.5</t>
    </r>
    <r>
      <rPr>
        <vertAlign val="superscript"/>
        <sz val="10"/>
        <color indexed="12"/>
        <rFont val="Arial"/>
        <family val="2"/>
      </rPr>
      <t>A</t>
    </r>
  </si>
  <si>
    <r>
      <t>18.3</t>
    </r>
    <r>
      <rPr>
        <vertAlign val="superscript"/>
        <sz val="10"/>
        <color indexed="12"/>
        <rFont val="Arial"/>
        <family val="2"/>
      </rPr>
      <t>A</t>
    </r>
  </si>
  <si>
    <r>
      <t>8.0</t>
    </r>
    <r>
      <rPr>
        <vertAlign val="superscript"/>
        <sz val="10"/>
        <color indexed="12"/>
        <rFont val="Arial"/>
        <family val="2"/>
      </rPr>
      <t>A</t>
    </r>
  </si>
  <si>
    <r>
      <t>9.3</t>
    </r>
    <r>
      <rPr>
        <vertAlign val="superscript"/>
        <sz val="10"/>
        <color indexed="12"/>
        <rFont val="Arial"/>
        <family val="2"/>
      </rPr>
      <t>A</t>
    </r>
  </si>
  <si>
    <r>
      <t>34.4</t>
    </r>
    <r>
      <rPr>
        <vertAlign val="superscript"/>
        <sz val="10"/>
        <color indexed="12"/>
        <rFont val="Arial"/>
        <family val="2"/>
      </rPr>
      <t>A</t>
    </r>
  </si>
  <si>
    <r>
      <t>10.5</t>
    </r>
    <r>
      <rPr>
        <vertAlign val="superscript"/>
        <sz val="10"/>
        <color indexed="12"/>
        <rFont val="Arial"/>
        <family val="2"/>
      </rPr>
      <t>A</t>
    </r>
  </si>
  <si>
    <r>
      <t>17.2</t>
    </r>
    <r>
      <rPr>
        <vertAlign val="superscript"/>
        <sz val="10"/>
        <color indexed="12"/>
        <rFont val="Arial"/>
        <family val="2"/>
      </rPr>
      <t>A</t>
    </r>
  </si>
  <si>
    <r>
      <t>5.3</t>
    </r>
    <r>
      <rPr>
        <vertAlign val="superscript"/>
        <sz val="10"/>
        <color indexed="12"/>
        <rFont val="Arial"/>
        <family val="2"/>
      </rPr>
      <t>A</t>
    </r>
  </si>
  <si>
    <r>
      <t>41.2</t>
    </r>
    <r>
      <rPr>
        <vertAlign val="superscript"/>
        <sz val="10"/>
        <color indexed="12"/>
        <rFont val="Arial"/>
        <family val="2"/>
      </rPr>
      <t>A</t>
    </r>
  </si>
  <si>
    <r>
      <t>94.0</t>
    </r>
    <r>
      <rPr>
        <b/>
        <vertAlign val="superscript"/>
        <sz val="10"/>
        <color indexed="12"/>
        <rFont val="Arial"/>
        <family val="2"/>
      </rPr>
      <t>A</t>
    </r>
  </si>
  <si>
    <r>
      <t>612.4</t>
    </r>
    <r>
      <rPr>
        <b/>
        <vertAlign val="superscript"/>
        <sz val="10"/>
        <color indexed="12"/>
        <rFont val="Arial"/>
        <family val="2"/>
      </rPr>
      <t>A</t>
    </r>
  </si>
  <si>
    <r>
      <t>312.6</t>
    </r>
    <r>
      <rPr>
        <b/>
        <vertAlign val="superscript"/>
        <sz val="10"/>
        <color indexed="12"/>
        <rFont val="Arial"/>
        <family val="2"/>
      </rPr>
      <t>A</t>
    </r>
  </si>
  <si>
    <r>
      <t>262.3</t>
    </r>
    <r>
      <rPr>
        <b/>
        <vertAlign val="superscript"/>
        <sz val="10"/>
        <color indexed="12"/>
        <rFont val="Arial"/>
        <family val="2"/>
      </rPr>
      <t>A</t>
    </r>
  </si>
  <si>
    <r>
      <t>574.9</t>
    </r>
    <r>
      <rPr>
        <b/>
        <vertAlign val="superscript"/>
        <sz val="10"/>
        <color indexed="12"/>
        <rFont val="Arial"/>
        <family val="2"/>
      </rPr>
      <t>A</t>
    </r>
  </si>
  <si>
    <r>
      <t>37.5</t>
    </r>
    <r>
      <rPr>
        <b/>
        <vertAlign val="superscript"/>
        <sz val="10"/>
        <color indexed="12"/>
        <rFont val="Arial"/>
        <family val="2"/>
      </rPr>
      <t>A</t>
    </r>
  </si>
  <si>
    <t>Total Revenue</t>
  </si>
  <si>
    <t>Wages and Benefits</t>
  </si>
  <si>
    <t>Purchases, Martial, and Sub-contracts</t>
  </si>
  <si>
    <t xml:space="preserve">Reconciliation </t>
  </si>
  <si>
    <t>Assets - Liability</t>
  </si>
  <si>
    <t>NAICS$ (2023)</t>
  </si>
  <si>
    <t>NAICS% (2023)</t>
  </si>
  <si>
    <t xml:space="preserve">The Chocolate Shop </t>
  </si>
  <si>
    <t xml:space="preserve">Proforma Income Statement </t>
  </si>
  <si>
    <t>Proforma Cash Flow Statement</t>
  </si>
  <si>
    <t>Proforma Balance sheet as of Dec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</si>
</sst>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&quot;$&quot;#,##0"/>
    <numFmt numFmtId="165" formatCode="_-&quot;$&quot;* #,##0_-;\-&quot;$&quot;* #,##0_-;_-&quot;$&quot;* &quot;-&quot;??_-;_-@_-"/>
    <numFmt numFmtId="166" formatCode="_(&quot;$&quot;* #,##0_);_(&quot;$&quot;* \(#,##0\);_(&quot;$&quot;* &quot;-&quot;??_);_(@_)"/>
    <numFmt numFmtId="167" formatCode="0.0%"/>
  </numFmts>
  <fonts count="2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rgb="FF7030A0"/>
      <name val="Aptos Narrow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color theme="0"/>
      <name val="Arial"/>
      <family val="2"/>
    </font>
    <font>
      <b/>
      <sz val="11"/>
      <name val="Arial"/>
      <family val="2"/>
    </font>
    <font>
      <i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perscript"/>
      <sz val="10"/>
      <color indexed="12"/>
      <name val="Arial"/>
      <family val="2"/>
    </font>
    <font>
      <b/>
      <u/>
      <sz val="10"/>
      <name val="Arial"/>
      <family val="2"/>
    </font>
    <font>
      <b/>
      <vertAlign val="superscript"/>
      <sz val="10"/>
      <color indexed="12"/>
      <name val="Arial"/>
      <family val="2"/>
    </font>
    <font>
      <sz val="11"/>
      <color rgb="FF7030A0"/>
      <name val="Arial"/>
      <family val="2"/>
    </font>
    <font>
      <b/>
      <sz val="16"/>
      <color theme="2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5" fontId="1" fillId="0" borderId="9"/>
    <xf numFmtId="0" fontId="10" fillId="0" borderId="0">
      <alignment horizontal="center"/>
    </xf>
    <xf numFmtId="0" fontId="23" fillId="0" borderId="0"/>
  </cellStyleXfs>
  <cellXfs count="393">
    <xf numFmtId="0" fontId="0" fillId="0" borderId="0" xfId="0"/>
    <xf numFmtId="0" fontId="0" fillId="0" borderId="1" xfId="0" applyBorder="1"/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2" xfId="0" applyFont="1" applyBorder="1" applyAlignment="1">
      <alignment horizontal="center" vertical="center"/>
    </xf>
    <xf numFmtId="0" fontId="1" fillId="7" borderId="6" xfId="0" applyFont="1" applyFill="1" applyBorder="1"/>
    <xf numFmtId="0" fontId="0" fillId="3" borderId="7" xfId="0" applyFill="1" applyBorder="1"/>
    <xf numFmtId="0" fontId="0" fillId="5" borderId="7" xfId="0" applyFill="1" applyBorder="1"/>
    <xf numFmtId="0" fontId="0" fillId="8" borderId="7" xfId="0" applyFill="1" applyBorder="1"/>
    <xf numFmtId="0" fontId="0" fillId="4" borderId="7" xfId="0" applyFill="1" applyBorder="1"/>
    <xf numFmtId="0" fontId="0" fillId="10" borderId="7" xfId="0" applyFill="1" applyBorder="1"/>
    <xf numFmtId="0" fontId="0" fillId="11" borderId="7" xfId="0" applyFill="1" applyBorder="1"/>
    <xf numFmtId="0" fontId="0" fillId="12" borderId="7" xfId="0" applyFill="1" applyBorder="1"/>
    <xf numFmtId="0" fontId="0" fillId="6" borderId="7" xfId="0" applyFill="1" applyBorder="1"/>
    <xf numFmtId="0" fontId="0" fillId="0" borderId="7" xfId="0" applyBorder="1"/>
    <xf numFmtId="0" fontId="1" fillId="0" borderId="7" xfId="0" applyFont="1" applyBorder="1"/>
    <xf numFmtId="0" fontId="0" fillId="9" borderId="8" xfId="0" applyFill="1" applyBorder="1"/>
    <xf numFmtId="0" fontId="1" fillId="0" borderId="2" xfId="0" applyFont="1" applyBorder="1" applyAlignment="1">
      <alignment wrapText="1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13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13" borderId="1" xfId="1" applyFont="1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5" fontId="0" fillId="0" borderId="1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" fontId="0" fillId="0" borderId="3" xfId="0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66" fontId="0" fillId="0" borderId="0" xfId="0" applyNumberFormat="1"/>
    <xf numFmtId="0" fontId="0" fillId="0" borderId="1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0" fontId="0" fillId="0" borderId="0" xfId="0" applyNumberFormat="1"/>
    <xf numFmtId="9" fontId="4" fillId="0" borderId="0" xfId="0" applyNumberFormat="1" applyFont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7" fontId="0" fillId="0" borderId="1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5" fillId="0" borderId="0" xfId="0" applyNumberFormat="1" applyFont="1"/>
    <xf numFmtId="166" fontId="5" fillId="0" borderId="0" xfId="0" applyNumberFormat="1" applyFont="1"/>
    <xf numFmtId="0" fontId="5" fillId="0" borderId="0" xfId="0" applyFont="1"/>
    <xf numFmtId="5" fontId="5" fillId="0" borderId="0" xfId="0" applyNumberFormat="1" applyFont="1"/>
    <xf numFmtId="0" fontId="5" fillId="0" borderId="7" xfId="0" applyFont="1" applyBorder="1"/>
    <xf numFmtId="0" fontId="0" fillId="0" borderId="19" xfId="0" applyBorder="1"/>
    <xf numFmtId="0" fontId="1" fillId="0" borderId="20" xfId="0" applyFon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0" fillId="0" borderId="25" xfId="0" applyBorder="1"/>
    <xf numFmtId="17" fontId="0" fillId="0" borderId="1" xfId="0" applyNumberFormat="1" applyBorder="1" applyAlignment="1">
      <alignment horizontal="center" vertical="center" wrapText="1"/>
    </xf>
    <xf numFmtId="167" fontId="0" fillId="11" borderId="3" xfId="1" applyNumberFormat="1" applyFont="1" applyFill="1" applyBorder="1" applyAlignment="1">
      <alignment horizontal="center" vertical="center"/>
    </xf>
    <xf numFmtId="42" fontId="0" fillId="13" borderId="1" xfId="2" applyNumberFormat="1" applyFont="1" applyFill="1" applyBorder="1"/>
    <xf numFmtId="0" fontId="7" fillId="0" borderId="0" xfId="0" applyFont="1"/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44" fontId="7" fillId="0" borderId="0" xfId="2" applyFont="1" applyAlignment="1">
      <alignment vertical="center"/>
    </xf>
    <xf numFmtId="17" fontId="10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4" fontId="7" fillId="0" borderId="0" xfId="2" applyFont="1" applyAlignment="1">
      <alignment horizontal="center" vertical="center"/>
    </xf>
    <xf numFmtId="44" fontId="7" fillId="0" borderId="0" xfId="2" applyFont="1" applyBorder="1" applyAlignment="1">
      <alignment horizontal="center" vertical="center"/>
    </xf>
    <xf numFmtId="44" fontId="7" fillId="11" borderId="1" xfId="2" applyFont="1" applyFill="1" applyBorder="1" applyAlignment="1">
      <alignment horizontal="center" vertical="center"/>
    </xf>
    <xf numFmtId="1" fontId="7" fillId="11" borderId="1" xfId="2" applyNumberFormat="1" applyFont="1" applyFill="1" applyBorder="1" applyAlignment="1">
      <alignment horizontal="center" vertical="center"/>
    </xf>
    <xf numFmtId="44" fontId="7" fillId="11" borderId="4" xfId="2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14" borderId="7" xfId="0" applyFill="1" applyBorder="1"/>
    <xf numFmtId="44" fontId="7" fillId="0" borderId="38" xfId="2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66" fontId="7" fillId="0" borderId="38" xfId="2" applyNumberFormat="1" applyFont="1" applyBorder="1" applyAlignment="1">
      <alignment horizontal="center" vertical="center"/>
    </xf>
    <xf numFmtId="166" fontId="7" fillId="0" borderId="39" xfId="2" applyNumberFormat="1" applyFont="1" applyBorder="1" applyAlignment="1">
      <alignment horizontal="center" vertical="center"/>
    </xf>
    <xf numFmtId="0" fontId="0" fillId="15" borderId="10" xfId="0" applyFill="1" applyBorder="1"/>
    <xf numFmtId="0" fontId="0" fillId="7" borderId="40" xfId="0" applyFill="1" applyBorder="1"/>
    <xf numFmtId="9" fontId="0" fillId="15" borderId="1" xfId="0" applyNumberFormat="1" applyFill="1" applyBorder="1"/>
    <xf numFmtId="0" fontId="0" fillId="16" borderId="0" xfId="0" applyFill="1" applyAlignment="1">
      <alignment wrapText="1"/>
    </xf>
    <xf numFmtId="17" fontId="0" fillId="0" borderId="4" xfId="0" applyNumberFormat="1" applyBorder="1" applyAlignment="1">
      <alignment horizontal="center"/>
    </xf>
    <xf numFmtId="44" fontId="0" fillId="15" borderId="1" xfId="2" applyFont="1" applyFill="1" applyBorder="1"/>
    <xf numFmtId="9" fontId="0" fillId="15" borderId="1" xfId="1" applyFont="1" applyFill="1" applyBorder="1"/>
    <xf numFmtId="166" fontId="0" fillId="15" borderId="1" xfId="2" applyNumberFormat="1" applyFont="1" applyFill="1" applyBorder="1"/>
    <xf numFmtId="0" fontId="4" fillId="13" borderId="1" xfId="2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3" fillId="0" borderId="0" xfId="0" applyFont="1"/>
    <xf numFmtId="0" fontId="1" fillId="0" borderId="1" xfId="0" applyFont="1" applyBorder="1"/>
    <xf numFmtId="166" fontId="12" fillId="0" borderId="0" xfId="0" applyNumberFormat="1" applyFont="1"/>
    <xf numFmtId="0" fontId="13" fillId="0" borderId="1" xfId="0" applyFont="1" applyBorder="1"/>
    <xf numFmtId="0" fontId="13" fillId="13" borderId="1" xfId="0" applyFont="1" applyFill="1" applyBorder="1"/>
    <xf numFmtId="0" fontId="13" fillId="0" borderId="0" xfId="0" applyFont="1"/>
    <xf numFmtId="0" fontId="14" fillId="0" borderId="0" xfId="0" applyFont="1"/>
    <xf numFmtId="10" fontId="13" fillId="13" borderId="1" xfId="1" applyNumberFormat="1" applyFont="1" applyFill="1" applyBorder="1"/>
    <xf numFmtId="10" fontId="13" fillId="0" borderId="1" xfId="1" applyNumberFormat="1" applyFont="1" applyBorder="1"/>
    <xf numFmtId="166" fontId="13" fillId="13" borderId="1" xfId="2" applyNumberFormat="1" applyFont="1" applyFill="1" applyBorder="1"/>
    <xf numFmtId="6" fontId="13" fillId="0" borderId="1" xfId="0" applyNumberFormat="1" applyFont="1" applyBorder="1"/>
    <xf numFmtId="0" fontId="14" fillId="0" borderId="1" xfId="0" applyFont="1" applyBorder="1"/>
    <xf numFmtId="0" fontId="13" fillId="0" borderId="1" xfId="0" applyFont="1" applyBorder="1" applyAlignment="1">
      <alignment horizontal="center"/>
    </xf>
    <xf numFmtId="17" fontId="13" fillId="0" borderId="1" xfId="0" applyNumberFormat="1" applyFont="1" applyBorder="1"/>
    <xf numFmtId="44" fontId="13" fillId="0" borderId="1" xfId="2" applyFont="1" applyBorder="1"/>
    <xf numFmtId="166" fontId="13" fillId="0" borderId="0" xfId="0" applyNumberFormat="1" applyFont="1"/>
    <xf numFmtId="1" fontId="13" fillId="0" borderId="1" xfId="0" applyNumberFormat="1" applyFont="1" applyBorder="1"/>
    <xf numFmtId="6" fontId="0" fillId="0" borderId="1" xfId="0" applyNumberFormat="1" applyBorder="1"/>
    <xf numFmtId="0" fontId="1" fillId="0" borderId="1" xfId="0" applyFont="1" applyBorder="1" applyAlignment="1">
      <alignment horizontal="center"/>
    </xf>
    <xf numFmtId="6" fontId="0" fillId="0" borderId="1" xfId="0" applyNumberFormat="1" applyBorder="1" applyAlignment="1">
      <alignment horizontal="center"/>
    </xf>
    <xf numFmtId="6" fontId="4" fillId="11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4" fillId="11" borderId="1" xfId="0" applyFont="1" applyFill="1" applyBorder="1" applyAlignment="1">
      <alignment horizontal="center" vertical="center" wrapText="1"/>
    </xf>
    <xf numFmtId="164" fontId="15" fillId="0" borderId="1" xfId="2" applyNumberFormat="1" applyFont="1" applyBorder="1"/>
    <xf numFmtId="164" fontId="15" fillId="0" borderId="1" xfId="0" applyNumberFormat="1" applyFont="1" applyBorder="1"/>
    <xf numFmtId="164" fontId="15" fillId="0" borderId="11" xfId="2" applyNumberFormat="1" applyFont="1" applyBorder="1"/>
    <xf numFmtId="164" fontId="15" fillId="0" borderId="0" xfId="2" applyNumberFormat="1" applyFont="1"/>
    <xf numFmtId="164" fontId="16" fillId="0" borderId="1" xfId="2" applyNumberFormat="1" applyFont="1" applyBorder="1"/>
    <xf numFmtId="0" fontId="1" fillId="0" borderId="3" xfId="0" applyFont="1" applyBorder="1"/>
    <xf numFmtId="166" fontId="14" fillId="0" borderId="1" xfId="0" applyNumberFormat="1" applyFont="1" applyBorder="1"/>
    <xf numFmtId="164" fontId="7" fillId="11" borderId="1" xfId="2" applyNumberFormat="1" applyFont="1" applyFill="1" applyBorder="1" applyAlignment="1">
      <alignment horizontal="center" vertical="center"/>
    </xf>
    <xf numFmtId="164" fontId="0" fillId="11" borderId="1" xfId="2" applyNumberFormat="1" applyFont="1" applyFill="1" applyBorder="1" applyAlignment="1">
      <alignment horizontal="center" vertical="center"/>
    </xf>
    <xf numFmtId="164" fontId="1" fillId="0" borderId="1" xfId="2" applyNumberFormat="1" applyFont="1" applyBorder="1" applyAlignment="1">
      <alignment horizontal="center" vertical="center"/>
    </xf>
    <xf numFmtId="164" fontId="10" fillId="0" borderId="1" xfId="2" applyNumberFormat="1" applyFont="1" applyBorder="1" applyAlignment="1">
      <alignment horizontal="center" vertical="center"/>
    </xf>
    <xf numFmtId="164" fontId="7" fillId="0" borderId="0" xfId="2" applyNumberFormat="1" applyFont="1" applyBorder="1" applyAlignment="1">
      <alignment horizontal="center" vertical="center"/>
    </xf>
    <xf numFmtId="164" fontId="0" fillId="0" borderId="0" xfId="2" applyNumberFormat="1" applyFont="1" applyBorder="1" applyAlignment="1">
      <alignment horizontal="center" vertical="center"/>
    </xf>
    <xf numFmtId="164" fontId="7" fillId="11" borderId="0" xfId="2" applyNumberFormat="1" applyFont="1" applyFill="1" applyBorder="1" applyAlignment="1">
      <alignment horizontal="center" vertical="center"/>
    </xf>
    <xf numFmtId="164" fontId="7" fillId="0" borderId="1" xfId="2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7" fillId="0" borderId="0" xfId="2" applyNumberFormat="1" applyFont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10" xfId="2" applyNumberFormat="1" applyFont="1" applyBorder="1"/>
    <xf numFmtId="164" fontId="1" fillId="0" borderId="1" xfId="0" applyNumberFormat="1" applyFont="1" applyBorder="1"/>
    <xf numFmtId="164" fontId="0" fillId="0" borderId="1" xfId="2" applyNumberFormat="1" applyFont="1" applyBorder="1"/>
    <xf numFmtId="164" fontId="1" fillId="0" borderId="9" xfId="2" applyNumberFormat="1" applyFont="1" applyBorder="1"/>
    <xf numFmtId="164" fontId="1" fillId="0" borderId="9" xfId="0" applyNumberFormat="1" applyFont="1" applyBorder="1"/>
    <xf numFmtId="164" fontId="0" fillId="6" borderId="1" xfId="2" applyNumberFormat="1" applyFont="1" applyFill="1" applyBorder="1" applyAlignment="1">
      <alignment horizontal="center" vertical="center"/>
    </xf>
    <xf numFmtId="164" fontId="0" fillId="6" borderId="10" xfId="2" applyNumberFormat="1" applyFont="1" applyFill="1" applyBorder="1" applyAlignment="1">
      <alignment horizontal="center" vertical="center"/>
    </xf>
    <xf numFmtId="164" fontId="0" fillId="0" borderId="1" xfId="2" applyNumberFormat="1" applyFont="1" applyBorder="1" applyAlignment="1">
      <alignment horizontal="center" vertical="center"/>
    </xf>
    <xf numFmtId="164" fontId="0" fillId="0" borderId="0" xfId="2" applyNumberFormat="1" applyFont="1"/>
    <xf numFmtId="164" fontId="0" fillId="0" borderId="0" xfId="2" applyNumberFormat="1" applyFont="1" applyAlignment="1">
      <alignment horizontal="center" vertical="center"/>
    </xf>
    <xf numFmtId="164" fontId="0" fillId="13" borderId="1" xfId="2" applyNumberFormat="1" applyFont="1" applyFill="1" applyBorder="1" applyAlignment="1">
      <alignment horizontal="center" vertical="center"/>
    </xf>
    <xf numFmtId="164" fontId="0" fillId="0" borderId="11" xfId="2" applyNumberFormat="1" applyFont="1" applyBorder="1" applyAlignment="1">
      <alignment horizontal="center" vertical="center"/>
    </xf>
    <xf numFmtId="164" fontId="0" fillId="0" borderId="3" xfId="2" applyNumberFormat="1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15" borderId="1" xfId="2" applyNumberFormat="1" applyFont="1" applyFill="1" applyBorder="1"/>
    <xf numFmtId="164" fontId="0" fillId="7" borderId="1" xfId="2" applyNumberFormat="1" applyFont="1" applyFill="1" applyBorder="1"/>
    <xf numFmtId="0" fontId="1" fillId="0" borderId="0" xfId="0" applyFont="1" applyAlignment="1">
      <alignment vertical="top"/>
    </xf>
    <xf numFmtId="0" fontId="17" fillId="0" borderId="1" xfId="0" applyFont="1" applyBorder="1"/>
    <xf numFmtId="166" fontId="17" fillId="0" borderId="1" xfId="0" applyNumberFormat="1" applyFont="1" applyBorder="1"/>
    <xf numFmtId="164" fontId="1" fillId="0" borderId="9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64" fontId="1" fillId="13" borderId="9" xfId="2" applyNumberFormat="1" applyFont="1" applyFill="1" applyBorder="1" applyAlignment="1">
      <alignment horizontal="center" vertical="center"/>
    </xf>
    <xf numFmtId="9" fontId="0" fillId="13" borderId="11" xfId="1" applyFont="1" applyFill="1" applyBorder="1" applyAlignment="1">
      <alignment horizontal="center" vertical="center"/>
    </xf>
    <xf numFmtId="9" fontId="0" fillId="13" borderId="3" xfId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1" xfId="0" applyFont="1" applyBorder="1"/>
    <xf numFmtId="0" fontId="10" fillId="0" borderId="0" xfId="0" applyFont="1"/>
    <xf numFmtId="0" fontId="7" fillId="0" borderId="14" xfId="0" applyFont="1" applyBorder="1"/>
    <xf numFmtId="164" fontId="7" fillId="0" borderId="1" xfId="0" applyNumberFormat="1" applyFont="1" applyBorder="1"/>
    <xf numFmtId="164" fontId="7" fillId="0" borderId="0" xfId="2" applyNumberFormat="1" applyFont="1"/>
    <xf numFmtId="164" fontId="7" fillId="0" borderId="1" xfId="2" applyNumberFormat="1" applyFont="1" applyBorder="1"/>
    <xf numFmtId="10" fontId="13" fillId="13" borderId="1" xfId="0" applyNumberFormat="1" applyFont="1" applyFill="1" applyBorder="1"/>
    <xf numFmtId="0" fontId="10" fillId="0" borderId="4" xfId="0" applyFont="1" applyBorder="1"/>
    <xf numFmtId="17" fontId="10" fillId="0" borderId="4" xfId="0" applyNumberFormat="1" applyFont="1" applyBorder="1"/>
    <xf numFmtId="0" fontId="10" fillId="0" borderId="10" xfId="0" applyFont="1" applyBorder="1"/>
    <xf numFmtId="164" fontId="10" fillId="0" borderId="10" xfId="0" applyNumberFormat="1" applyFont="1" applyBorder="1"/>
    <xf numFmtId="164" fontId="7" fillId="0" borderId="42" xfId="0" applyNumberFormat="1" applyFont="1" applyBorder="1"/>
    <xf numFmtId="164" fontId="10" fillId="0" borderId="4" xfId="0" applyNumberFormat="1" applyFont="1" applyBorder="1"/>
    <xf numFmtId="164" fontId="10" fillId="7" borderId="43" xfId="0" applyNumberFormat="1" applyFont="1" applyFill="1" applyBorder="1"/>
    <xf numFmtId="164" fontId="10" fillId="0" borderId="4" xfId="2" applyNumberFormat="1" applyFont="1" applyBorder="1"/>
    <xf numFmtId="164" fontId="7" fillId="0" borderId="0" xfId="2" applyNumberFormat="1" applyFont="1" applyBorder="1"/>
    <xf numFmtId="0" fontId="20" fillId="6" borderId="1" xfId="0" applyFont="1" applyFill="1" applyBorder="1" applyAlignment="1">
      <alignment horizontal="right"/>
    </xf>
    <xf numFmtId="164" fontId="20" fillId="6" borderId="1" xfId="0" applyNumberFormat="1" applyFont="1" applyFill="1" applyBorder="1"/>
    <xf numFmtId="164" fontId="1" fillId="0" borderId="1" xfId="0" applyNumberFormat="1" applyFont="1" applyBorder="1" applyAlignment="1">
      <alignment horizontal="center" vertical="center"/>
    </xf>
    <xf numFmtId="9" fontId="1" fillId="0" borderId="1" xfId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21" fillId="0" borderId="5" xfId="0" applyFont="1" applyBorder="1" applyAlignment="1">
      <alignment horizontal="right"/>
    </xf>
    <xf numFmtId="164" fontId="10" fillId="7" borderId="5" xfId="2" applyNumberFormat="1" applyFont="1" applyFill="1" applyBorder="1"/>
    <xf numFmtId="164" fontId="10" fillId="0" borderId="1" xfId="0" applyNumberFormat="1" applyFont="1" applyBorder="1"/>
    <xf numFmtId="164" fontId="21" fillId="6" borderId="1" xfId="0" applyNumberFormat="1" applyFont="1" applyFill="1" applyBorder="1"/>
    <xf numFmtId="0" fontId="10" fillId="0" borderId="1" xfId="0" applyFont="1" applyBorder="1"/>
    <xf numFmtId="0" fontId="10" fillId="0" borderId="9" xfId="0" applyFont="1" applyBorder="1"/>
    <xf numFmtId="0" fontId="7" fillId="0" borderId="10" xfId="0" applyFont="1" applyBorder="1"/>
    <xf numFmtId="164" fontId="10" fillId="0" borderId="9" xfId="0" applyNumberFormat="1" applyFont="1" applyBorder="1"/>
    <xf numFmtId="164" fontId="7" fillId="0" borderId="10" xfId="0" applyNumberFormat="1" applyFont="1" applyBorder="1"/>
    <xf numFmtId="0" fontId="7" fillId="0" borderId="41" xfId="0" applyFont="1" applyBorder="1"/>
    <xf numFmtId="164" fontId="7" fillId="0" borderId="4" xfId="0" applyNumberFormat="1" applyFont="1" applyBorder="1"/>
    <xf numFmtId="164" fontId="7" fillId="0" borderId="0" xfId="0" applyNumberFormat="1" applyFont="1"/>
    <xf numFmtId="164" fontId="7" fillId="0" borderId="14" xfId="0" applyNumberFormat="1" applyFont="1" applyBorder="1"/>
    <xf numFmtId="0" fontId="7" fillId="0" borderId="4" xfId="0" applyFont="1" applyBorder="1"/>
    <xf numFmtId="0" fontId="10" fillId="0" borderId="35" xfId="0" applyFont="1" applyBorder="1"/>
    <xf numFmtId="164" fontId="10" fillId="0" borderId="36" xfId="0" applyNumberFormat="1" applyFont="1" applyBorder="1"/>
    <xf numFmtId="0" fontId="7" fillId="0" borderId="3" xfId="0" applyFont="1" applyBorder="1"/>
    <xf numFmtId="0" fontId="7" fillId="0" borderId="5" xfId="0" applyFont="1" applyBorder="1"/>
    <xf numFmtId="0" fontId="10" fillId="0" borderId="2" xfId="0" applyFont="1" applyBorder="1"/>
    <xf numFmtId="0" fontId="7" fillId="0" borderId="21" xfId="0" applyFont="1" applyBorder="1"/>
    <xf numFmtId="0" fontId="7" fillId="0" borderId="22" xfId="0" applyFont="1" applyBorder="1"/>
    <xf numFmtId="0" fontId="7" fillId="0" borderId="23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5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7" fillId="0" borderId="24" xfId="0" applyFont="1" applyBorder="1" applyAlignment="1">
      <alignment horizontal="left"/>
    </xf>
    <xf numFmtId="0" fontId="10" fillId="0" borderId="20" xfId="0" applyFont="1" applyBorder="1"/>
    <xf numFmtId="164" fontId="0" fillId="0" borderId="42" xfId="0" applyNumberFormat="1" applyBorder="1"/>
    <xf numFmtId="164" fontId="10" fillId="0" borderId="43" xfId="2" applyNumberFormat="1" applyFont="1" applyBorder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164" fontId="7" fillId="0" borderId="5" xfId="0" applyNumberFormat="1" applyFont="1" applyBorder="1"/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49" fontId="23" fillId="0" borderId="0" xfId="0" applyNumberFormat="1" applyFont="1" applyAlignment="1">
      <alignment horizontal="right"/>
    </xf>
    <xf numFmtId="0" fontId="25" fillId="0" borderId="0" xfId="0" applyFont="1" applyAlignment="1">
      <alignment horizontal="left"/>
    </xf>
    <xf numFmtId="0" fontId="22" fillId="0" borderId="1" xfId="0" applyFont="1" applyBorder="1" applyAlignment="1">
      <alignment wrapText="1"/>
    </xf>
    <xf numFmtId="0" fontId="23" fillId="0" borderId="1" xfId="0" applyFont="1" applyBorder="1" applyAlignment="1">
      <alignment wrapText="1"/>
    </xf>
    <xf numFmtId="0" fontId="23" fillId="0" borderId="1" xfId="0" applyFont="1" applyBorder="1" applyAlignment="1">
      <alignment wrapText="1" indent="2"/>
    </xf>
    <xf numFmtId="2" fontId="0" fillId="0" borderId="1" xfId="0" applyNumberFormat="1" applyBorder="1"/>
    <xf numFmtId="49" fontId="23" fillId="0" borderId="1" xfId="0" applyNumberFormat="1" applyFont="1" applyBorder="1" applyAlignment="1">
      <alignment horizontal="right"/>
    </xf>
    <xf numFmtId="0" fontId="23" fillId="0" borderId="1" xfId="0" applyFont="1" applyBorder="1" applyAlignment="1">
      <alignment wrapText="1" indent="4"/>
    </xf>
    <xf numFmtId="49" fontId="23" fillId="0" borderId="11" xfId="0" applyNumberFormat="1" applyFont="1" applyBorder="1" applyAlignment="1">
      <alignment horizontal="right"/>
    </xf>
    <xf numFmtId="2" fontId="0" fillId="0" borderId="11" xfId="0" applyNumberFormat="1" applyBorder="1"/>
    <xf numFmtId="0" fontId="0" fillId="0" borderId="44" xfId="0" applyBorder="1" applyAlignment="1">
      <alignment horizontal="left"/>
    </xf>
    <xf numFmtId="0" fontId="22" fillId="0" borderId="10" xfId="0" applyFont="1" applyBorder="1" applyAlignment="1">
      <alignment wrapText="1"/>
    </xf>
    <xf numFmtId="0" fontId="0" fillId="0" borderId="12" xfId="0" applyBorder="1" applyAlignment="1">
      <alignment horizontal="left"/>
    </xf>
    <xf numFmtId="49" fontId="23" fillId="0" borderId="12" xfId="0" applyNumberFormat="1" applyFont="1" applyBorder="1" applyAlignment="1">
      <alignment horizontal="right"/>
    </xf>
    <xf numFmtId="0" fontId="23" fillId="0" borderId="4" xfId="0" applyFont="1" applyBorder="1" applyAlignment="1">
      <alignment wrapText="1" indent="2"/>
    </xf>
    <xf numFmtId="0" fontId="0" fillId="0" borderId="4" xfId="0" applyBorder="1" applyAlignment="1">
      <alignment horizontal="left"/>
    </xf>
    <xf numFmtId="2" fontId="1" fillId="0" borderId="1" xfId="0" applyNumberFormat="1" applyFont="1" applyBorder="1"/>
    <xf numFmtId="49" fontId="23" fillId="0" borderId="1" xfId="0" applyNumberFormat="1" applyFont="1" applyBorder="1" applyAlignment="1">
      <alignment horizontal="left"/>
    </xf>
    <xf numFmtId="0" fontId="25" fillId="0" borderId="0" xfId="0" applyFont="1"/>
    <xf numFmtId="0" fontId="22" fillId="0" borderId="1" xfId="0" applyFont="1" applyBorder="1" applyAlignment="1">
      <alignment wrapText="1" indent="4"/>
    </xf>
    <xf numFmtId="0" fontId="7" fillId="0" borderId="1" xfId="0" applyFont="1" applyBorder="1" applyAlignment="1">
      <alignment horizontal="center"/>
    </xf>
    <xf numFmtId="49" fontId="23" fillId="0" borderId="11" xfId="0" applyNumberFormat="1" applyFont="1" applyBorder="1" applyAlignment="1">
      <alignment horizontal="left"/>
    </xf>
    <xf numFmtId="49" fontId="23" fillId="0" borderId="12" xfId="0" applyNumberFormat="1" applyFont="1" applyBorder="1" applyAlignment="1">
      <alignment horizontal="left"/>
    </xf>
    <xf numFmtId="49" fontId="23" fillId="0" borderId="3" xfId="0" applyNumberFormat="1" applyFont="1" applyBorder="1" applyAlignment="1">
      <alignment horizontal="left"/>
    </xf>
    <xf numFmtId="164" fontId="7" fillId="0" borderId="3" xfId="0" applyNumberFormat="1" applyFont="1" applyBorder="1"/>
    <xf numFmtId="167" fontId="7" fillId="0" borderId="1" xfId="1" applyNumberFormat="1" applyFont="1" applyBorder="1"/>
    <xf numFmtId="167" fontId="7" fillId="0" borderId="4" xfId="1" applyNumberFormat="1" applyFont="1" applyBorder="1"/>
    <xf numFmtId="167" fontId="7" fillId="0" borderId="10" xfId="1" applyNumberFormat="1" applyFont="1" applyBorder="1"/>
    <xf numFmtId="167" fontId="7" fillId="0" borderId="5" xfId="1" applyNumberFormat="1" applyFont="1" applyBorder="1"/>
    <xf numFmtId="167" fontId="7" fillId="0" borderId="3" xfId="1" applyNumberFormat="1" applyFont="1" applyBorder="1"/>
    <xf numFmtId="167" fontId="0" fillId="0" borderId="1" xfId="0" applyNumberFormat="1" applyBorder="1"/>
    <xf numFmtId="167" fontId="0" fillId="0" borderId="0" xfId="0" applyNumberFormat="1"/>
    <xf numFmtId="0" fontId="27" fillId="0" borderId="0" xfId="0" applyFont="1"/>
    <xf numFmtId="164" fontId="27" fillId="0" borderId="0" xfId="0" applyNumberFormat="1" applyFont="1"/>
    <xf numFmtId="2" fontId="23" fillId="0" borderId="1" xfId="0" applyNumberFormat="1" applyFont="1" applyBorder="1" applyAlignment="1">
      <alignment horizontal="right"/>
    </xf>
    <xf numFmtId="0" fontId="11" fillId="0" borderId="10" xfId="0" applyFont="1" applyBorder="1"/>
    <xf numFmtId="164" fontId="5" fillId="0" borderId="0" xfId="0" applyNumberFormat="1" applyFont="1"/>
    <xf numFmtId="0" fontId="21" fillId="0" borderId="1" xfId="0" applyFont="1" applyBorder="1" applyAlignment="1">
      <alignment horizontal="right"/>
    </xf>
    <xf numFmtId="0" fontId="21" fillId="0" borderId="4" xfId="0" applyFont="1" applyBorder="1" applyAlignment="1">
      <alignment horizontal="right"/>
    </xf>
    <xf numFmtId="0" fontId="21" fillId="0" borderId="35" xfId="0" applyFont="1" applyBorder="1" applyAlignment="1">
      <alignment horizontal="left"/>
    </xf>
    <xf numFmtId="164" fontId="10" fillId="0" borderId="38" xfId="0" applyNumberFormat="1" applyFont="1" applyBorder="1"/>
    <xf numFmtId="0" fontId="10" fillId="7" borderId="45" xfId="0" applyFont="1" applyFill="1" applyBorder="1"/>
    <xf numFmtId="0" fontId="7" fillId="0" borderId="42" xfId="0" applyFont="1" applyBorder="1"/>
    <xf numFmtId="164" fontId="10" fillId="7" borderId="46" xfId="0" applyNumberFormat="1" applyFont="1" applyFill="1" applyBorder="1"/>
    <xf numFmtId="164" fontId="10" fillId="0" borderId="42" xfId="0" applyNumberFormat="1" applyFont="1" applyBorder="1"/>
    <xf numFmtId="164" fontId="10" fillId="0" borderId="1" xfId="2" applyNumberFormat="1" applyFont="1" applyBorder="1"/>
    <xf numFmtId="164" fontId="10" fillId="0" borderId="45" xfId="2" applyNumberFormat="1" applyFont="1" applyBorder="1"/>
    <xf numFmtId="164" fontId="10" fillId="0" borderId="46" xfId="2" applyNumberFormat="1" applyFont="1" applyBorder="1"/>
    <xf numFmtId="164" fontId="7" fillId="0" borderId="4" xfId="2" applyNumberFormat="1" applyFont="1" applyBorder="1"/>
    <xf numFmtId="164" fontId="0" fillId="0" borderId="4" xfId="2" applyNumberFormat="1" applyFont="1" applyBorder="1"/>
    <xf numFmtId="0" fontId="10" fillId="0" borderId="42" xfId="0" applyFont="1" applyBorder="1" applyAlignment="1">
      <alignment horizontal="right"/>
    </xf>
    <xf numFmtId="164" fontId="21" fillId="7" borderId="42" xfId="2" applyNumberFormat="1" applyFont="1" applyFill="1" applyBorder="1"/>
    <xf numFmtId="0" fontId="1" fillId="0" borderId="0" xfId="0" applyFont="1"/>
    <xf numFmtId="164" fontId="10" fillId="0" borderId="4" xfId="2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67" fontId="10" fillId="0" borderId="36" xfId="1" applyNumberFormat="1" applyFont="1" applyBorder="1"/>
    <xf numFmtId="0" fontId="10" fillId="0" borderId="14" xfId="0" applyFont="1" applyBorder="1"/>
    <xf numFmtId="10" fontId="7" fillId="0" borderId="5" xfId="1" applyNumberFormat="1" applyFont="1" applyBorder="1"/>
    <xf numFmtId="0" fontId="10" fillId="0" borderId="47" xfId="0" applyFont="1" applyBorder="1"/>
    <xf numFmtId="164" fontId="10" fillId="0" borderId="48" xfId="0" applyNumberFormat="1" applyFont="1" applyBorder="1"/>
    <xf numFmtId="10" fontId="10" fillId="0" borderId="48" xfId="1" applyNumberFormat="1" applyFont="1" applyBorder="1"/>
    <xf numFmtId="0" fontId="10" fillId="0" borderId="1" xfId="0" applyFont="1" applyBorder="1" applyAlignment="1">
      <alignment horizontal="center" vertical="center"/>
    </xf>
    <xf numFmtId="0" fontId="10" fillId="0" borderId="38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22" fillId="0" borderId="38" xfId="5" applyFont="1" applyBorder="1" applyAlignment="1">
      <alignment horizontal="left" wrapText="1"/>
    </xf>
    <xf numFmtId="0" fontId="7" fillId="0" borderId="5" xfId="0" applyFont="1" applyBorder="1" applyAlignment="1">
      <alignment horizontal="left"/>
    </xf>
    <xf numFmtId="0" fontId="7" fillId="0" borderId="38" xfId="0" applyFont="1" applyBorder="1" applyAlignment="1">
      <alignment horizontal="left"/>
    </xf>
    <xf numFmtId="0" fontId="10" fillId="0" borderId="49" xfId="0" applyFont="1" applyBorder="1" applyAlignment="1">
      <alignment horizontal="left"/>
    </xf>
    <xf numFmtId="0" fontId="10" fillId="5" borderId="20" xfId="0" applyFont="1" applyFill="1" applyBorder="1" applyAlignment="1">
      <alignment horizontal="center"/>
    </xf>
    <xf numFmtId="0" fontId="10" fillId="5" borderId="21" xfId="0" applyFont="1" applyFill="1" applyBorder="1" applyAlignment="1">
      <alignment horizontal="center"/>
    </xf>
    <xf numFmtId="0" fontId="10" fillId="5" borderId="22" xfId="0" applyFont="1" applyFill="1" applyBorder="1" applyAlignment="1">
      <alignment horizontal="center"/>
    </xf>
    <xf numFmtId="0" fontId="10" fillId="5" borderId="25" xfId="0" applyFont="1" applyFill="1" applyBorder="1" applyAlignment="1">
      <alignment horizontal="center"/>
    </xf>
    <xf numFmtId="0" fontId="10" fillId="5" borderId="26" xfId="0" applyFont="1" applyFill="1" applyBorder="1" applyAlignment="1">
      <alignment horizontal="center"/>
    </xf>
    <xf numFmtId="0" fontId="10" fillId="5" borderId="27" xfId="0" applyFont="1" applyFill="1" applyBorder="1" applyAlignment="1">
      <alignment horizontal="center"/>
    </xf>
    <xf numFmtId="0" fontId="18" fillId="18" borderId="28" xfId="0" applyFont="1" applyFill="1" applyBorder="1" applyAlignment="1">
      <alignment horizontal="center"/>
    </xf>
    <xf numFmtId="0" fontId="18" fillId="18" borderId="29" xfId="0" applyFont="1" applyFill="1" applyBorder="1" applyAlignment="1">
      <alignment horizontal="center"/>
    </xf>
    <xf numFmtId="0" fontId="18" fillId="18" borderId="30" xfId="0" applyFont="1" applyFill="1" applyBorder="1" applyAlignment="1">
      <alignment horizontal="center"/>
    </xf>
    <xf numFmtId="0" fontId="19" fillId="5" borderId="20" xfId="0" applyFont="1" applyFill="1" applyBorder="1" applyAlignment="1">
      <alignment horizontal="center"/>
    </xf>
    <xf numFmtId="0" fontId="19" fillId="5" borderId="21" xfId="0" applyFont="1" applyFill="1" applyBorder="1" applyAlignment="1">
      <alignment horizontal="center"/>
    </xf>
    <xf numFmtId="0" fontId="19" fillId="5" borderId="22" xfId="0" applyFont="1" applyFill="1" applyBorder="1" applyAlignment="1">
      <alignment horizontal="center"/>
    </xf>
    <xf numFmtId="0" fontId="10" fillId="17" borderId="25" xfId="0" applyFont="1" applyFill="1" applyBorder="1" applyAlignment="1">
      <alignment horizontal="center"/>
    </xf>
    <xf numFmtId="0" fontId="10" fillId="17" borderId="27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1" fillId="0" borderId="20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3" fillId="4" borderId="28" xfId="0" applyFont="1" applyFill="1" applyBorder="1" applyAlignment="1">
      <alignment horizontal="center"/>
    </xf>
    <xf numFmtId="0" fontId="3" fillId="4" borderId="29" xfId="0" applyFont="1" applyFill="1" applyBorder="1" applyAlignment="1">
      <alignment horizontal="center"/>
    </xf>
    <xf numFmtId="0" fontId="3" fillId="4" borderId="30" xfId="0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23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4" xfId="0" applyBorder="1" applyAlignment="1">
      <alignment horizontal="left"/>
    </xf>
    <xf numFmtId="0" fontId="10" fillId="10" borderId="28" xfId="0" applyFont="1" applyFill="1" applyBorder="1" applyAlignment="1">
      <alignment horizontal="center"/>
    </xf>
    <xf numFmtId="0" fontId="10" fillId="10" borderId="29" xfId="0" applyFont="1" applyFill="1" applyBorder="1" applyAlignment="1">
      <alignment horizontal="center"/>
    </xf>
    <xf numFmtId="0" fontId="10" fillId="10" borderId="30" xfId="0" applyFont="1" applyFill="1" applyBorder="1" applyAlignment="1">
      <alignment horizontal="center"/>
    </xf>
    <xf numFmtId="0" fontId="7" fillId="14" borderId="28" xfId="0" applyFont="1" applyFill="1" applyBorder="1" applyAlignment="1">
      <alignment horizontal="center"/>
    </xf>
    <xf numFmtId="0" fontId="7" fillId="14" borderId="29" xfId="0" applyFont="1" applyFill="1" applyBorder="1" applyAlignment="1">
      <alignment horizontal="center"/>
    </xf>
    <xf numFmtId="0" fontId="7" fillId="14" borderId="30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1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0" fillId="13" borderId="28" xfId="0" applyFont="1" applyFill="1" applyBorder="1" applyAlignment="1">
      <alignment horizontal="center"/>
    </xf>
    <xf numFmtId="0" fontId="10" fillId="13" borderId="29" xfId="0" applyFont="1" applyFill="1" applyBorder="1" applyAlignment="1">
      <alignment horizontal="center"/>
    </xf>
    <xf numFmtId="0" fontId="10" fillId="13" borderId="30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14" borderId="28" xfId="0" applyFont="1" applyFill="1" applyBorder="1" applyAlignment="1">
      <alignment horizontal="center" vertical="center"/>
    </xf>
    <xf numFmtId="0" fontId="10" fillId="14" borderId="29" xfId="0" applyFont="1" applyFill="1" applyBorder="1" applyAlignment="1">
      <alignment horizontal="center" vertical="center"/>
    </xf>
    <xf numFmtId="0" fontId="10" fillId="14" borderId="30" xfId="0" applyFont="1" applyFill="1" applyBorder="1" applyAlignment="1">
      <alignment horizontal="center" vertical="center"/>
    </xf>
    <xf numFmtId="0" fontId="8" fillId="0" borderId="34" xfId="0" applyFont="1" applyBorder="1" applyAlignment="1">
      <alignment vertical="center"/>
    </xf>
    <xf numFmtId="0" fontId="10" fillId="6" borderId="28" xfId="0" applyFont="1" applyFill="1" applyBorder="1" applyAlignment="1">
      <alignment horizontal="center"/>
    </xf>
    <xf numFmtId="0" fontId="10" fillId="6" borderId="29" xfId="0" applyFont="1" applyFill="1" applyBorder="1" applyAlignment="1">
      <alignment horizontal="center"/>
    </xf>
    <xf numFmtId="0" fontId="10" fillId="6" borderId="30" xfId="0" applyFont="1" applyFill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11" xfId="0" applyFont="1" applyBorder="1" applyAlignment="1">
      <alignment horizontal="center" wrapText="1"/>
    </xf>
    <xf numFmtId="0" fontId="22" fillId="0" borderId="12" xfId="0" applyFont="1" applyBorder="1" applyAlignment="1">
      <alignment horizontal="center" wrapText="1"/>
    </xf>
    <xf numFmtId="0" fontId="22" fillId="0" borderId="3" xfId="0" applyFont="1" applyBorder="1" applyAlignment="1">
      <alignment horizontal="center" wrapText="1"/>
    </xf>
    <xf numFmtId="49" fontId="23" fillId="0" borderId="1" xfId="0" applyNumberFormat="1" applyFont="1" applyBorder="1" applyAlignment="1">
      <alignment horizontal="left"/>
    </xf>
    <xf numFmtId="0" fontId="7" fillId="0" borderId="18" xfId="0" applyFont="1" applyBorder="1"/>
    <xf numFmtId="164" fontId="7" fillId="0" borderId="41" xfId="2" applyNumberFormat="1" applyFont="1" applyBorder="1"/>
    <xf numFmtId="44" fontId="7" fillId="11" borderId="3" xfId="2" applyFont="1" applyFill="1" applyBorder="1" applyAlignment="1">
      <alignment horizontal="center" vertical="center"/>
    </xf>
    <xf numFmtId="17" fontId="10" fillId="0" borderId="3" xfId="0" applyNumberFormat="1" applyFont="1" applyBorder="1" applyAlignment="1">
      <alignment horizontal="center" vertical="center"/>
    </xf>
    <xf numFmtId="164" fontId="7" fillId="0" borderId="3" xfId="2" applyNumberFormat="1" applyFont="1" applyBorder="1" applyAlignment="1">
      <alignment horizontal="center" vertical="center"/>
    </xf>
    <xf numFmtId="164" fontId="7" fillId="11" borderId="3" xfId="2" applyNumberFormat="1" applyFont="1" applyFill="1" applyBorder="1" applyAlignment="1">
      <alignment horizontal="center" vertical="center"/>
    </xf>
    <xf numFmtId="164" fontId="10" fillId="0" borderId="3" xfId="2" applyNumberFormat="1" applyFont="1" applyBorder="1" applyAlignment="1">
      <alignment horizontal="center" vertical="center"/>
    </xf>
    <xf numFmtId="164" fontId="0" fillId="15" borderId="1" xfId="0" applyNumberFormat="1" applyFill="1" applyBorder="1"/>
    <xf numFmtId="0" fontId="0" fillId="0" borderId="1" xfId="0" applyBorder="1" applyAlignment="1">
      <alignment horizontal="left" vertical="center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28" fillId="2" borderId="1" xfId="0" applyFont="1" applyFill="1" applyBorder="1" applyAlignment="1">
      <alignment horizontal="center"/>
    </xf>
    <xf numFmtId="0" fontId="10" fillId="0" borderId="31" xfId="0" applyFont="1" applyBorder="1" applyAlignment="1">
      <alignment vertical="center"/>
    </xf>
    <xf numFmtId="0" fontId="10" fillId="0" borderId="32" xfId="0" applyFont="1" applyBorder="1" applyAlignment="1">
      <alignment vertical="center"/>
    </xf>
    <xf numFmtId="0" fontId="10" fillId="0" borderId="33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10" fillId="0" borderId="35" xfId="0" applyFont="1" applyBorder="1" applyAlignment="1">
      <alignment vertical="center"/>
    </xf>
    <xf numFmtId="0" fontId="10" fillId="0" borderId="36" xfId="0" applyFont="1" applyBorder="1" applyAlignment="1">
      <alignment vertical="center"/>
    </xf>
    <xf numFmtId="0" fontId="10" fillId="0" borderId="37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0" fillId="0" borderId="28" xfId="0" applyFont="1" applyBorder="1" applyAlignment="1">
      <alignment vertical="center"/>
    </xf>
    <xf numFmtId="0" fontId="10" fillId="0" borderId="29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10" fillId="0" borderId="26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4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0" xfId="0" applyFont="1" applyAlignment="1">
      <alignment vertical="center"/>
    </xf>
  </cellXfs>
  <cellStyles count="6">
    <cellStyle name="Currency" xfId="2" builtinId="4"/>
    <cellStyle name="Heading" xfId="4" xr:uid="{B132C1A9-A5EF-4238-8E89-0881F674E1D3}"/>
    <cellStyle name="Normal" xfId="0" builtinId="0"/>
    <cellStyle name="Normal 2" xfId="5" xr:uid="{8108AFB7-E15D-4D4E-BA56-C649358CCCF7}"/>
    <cellStyle name="Percent" xfId="1" builtinId="5"/>
    <cellStyle name="Total 1" xfId="3" xr:uid="{B080CBD9-78B6-44AD-9A06-8F7FF752A87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8B8B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B772-F119-48C8-A555-532C64263F79}">
  <sheetPr>
    <tabColor rgb="FFFF0000"/>
    <pageSetUpPr fitToPage="1"/>
  </sheetPr>
  <dimension ref="A1:B27"/>
  <sheetViews>
    <sheetView tabSelected="1" zoomScaleNormal="100" zoomScalePageLayoutView="55" workbookViewId="0">
      <selection activeCell="B4" sqref="B4"/>
    </sheetView>
  </sheetViews>
  <sheetFormatPr defaultRowHeight="14.5" x14ac:dyDescent="0.35"/>
  <cols>
    <col min="1" max="1" width="19.26953125" bestFit="1" customWidth="1"/>
    <col min="2" max="2" width="102.90625" customWidth="1"/>
  </cols>
  <sheetData>
    <row r="1" spans="1:2" ht="21" x14ac:dyDescent="0.5">
      <c r="A1" s="374" t="s">
        <v>299</v>
      </c>
      <c r="B1" s="374"/>
    </row>
    <row r="2" spans="1:2" ht="15" thickBot="1" x14ac:dyDescent="0.4">
      <c r="A2" s="4"/>
      <c r="B2" s="1"/>
    </row>
    <row r="3" spans="1:2" ht="29.5" thickBot="1" x14ac:dyDescent="0.4">
      <c r="A3" s="6" t="s">
        <v>0</v>
      </c>
      <c r="B3" s="2" t="s">
        <v>295</v>
      </c>
    </row>
    <row r="4" spans="1:2" ht="15" thickBot="1" x14ac:dyDescent="0.4">
      <c r="A4" s="5"/>
      <c r="B4" s="1"/>
    </row>
    <row r="5" spans="1:2" x14ac:dyDescent="0.35">
      <c r="A5" s="7" t="s">
        <v>30</v>
      </c>
      <c r="B5" s="3"/>
    </row>
    <row r="6" spans="1:2" x14ac:dyDescent="0.35">
      <c r="A6" s="8" t="s">
        <v>1</v>
      </c>
      <c r="B6" s="3" t="s">
        <v>2</v>
      </c>
    </row>
    <row r="7" spans="1:2" x14ac:dyDescent="0.35">
      <c r="A7" s="9" t="s">
        <v>32</v>
      </c>
      <c r="B7" s="3" t="s">
        <v>18</v>
      </c>
    </row>
    <row r="8" spans="1:2" x14ac:dyDescent="0.35">
      <c r="A8" s="9" t="s">
        <v>3</v>
      </c>
      <c r="B8" s="3" t="s">
        <v>296</v>
      </c>
    </row>
    <row r="9" spans="1:2" x14ac:dyDescent="0.35">
      <c r="A9" s="9" t="s">
        <v>4</v>
      </c>
      <c r="B9" s="3" t="s">
        <v>19</v>
      </c>
    </row>
    <row r="10" spans="1:2" x14ac:dyDescent="0.35">
      <c r="A10" s="10" t="s">
        <v>5</v>
      </c>
      <c r="B10" s="3" t="s">
        <v>297</v>
      </c>
    </row>
    <row r="11" spans="1:2" x14ac:dyDescent="0.35">
      <c r="A11" s="11" t="s">
        <v>33</v>
      </c>
      <c r="B11" s="3" t="s">
        <v>20</v>
      </c>
    </row>
    <row r="12" spans="1:2" x14ac:dyDescent="0.35">
      <c r="A12" s="12" t="s">
        <v>6</v>
      </c>
      <c r="B12" s="3" t="s">
        <v>21</v>
      </c>
    </row>
    <row r="13" spans="1:2" x14ac:dyDescent="0.35">
      <c r="A13" s="69" t="s">
        <v>7</v>
      </c>
      <c r="B13" s="3" t="s">
        <v>298</v>
      </c>
    </row>
    <row r="14" spans="1:2" x14ac:dyDescent="0.35">
      <c r="A14" s="14" t="s">
        <v>8</v>
      </c>
      <c r="B14" s="3" t="s">
        <v>22</v>
      </c>
    </row>
    <row r="15" spans="1:2" x14ac:dyDescent="0.35">
      <c r="A15" s="69" t="s">
        <v>9</v>
      </c>
      <c r="B15" s="3" t="s">
        <v>23</v>
      </c>
    </row>
    <row r="16" spans="1:2" x14ac:dyDescent="0.35">
      <c r="A16" s="15" t="s">
        <v>10</v>
      </c>
      <c r="B16" s="3" t="s">
        <v>24</v>
      </c>
    </row>
    <row r="17" spans="1:2" x14ac:dyDescent="0.35">
      <c r="A17" s="15" t="s">
        <v>11</v>
      </c>
      <c r="B17" s="3" t="s">
        <v>25</v>
      </c>
    </row>
    <row r="18" spans="1:2" x14ac:dyDescent="0.35">
      <c r="A18" s="16"/>
      <c r="B18" s="3"/>
    </row>
    <row r="19" spans="1:2" x14ac:dyDescent="0.35">
      <c r="A19" s="17" t="s">
        <v>12</v>
      </c>
      <c r="B19" s="3"/>
    </row>
    <row r="20" spans="1:2" x14ac:dyDescent="0.35">
      <c r="A20" s="13" t="s">
        <v>13</v>
      </c>
      <c r="B20" s="3" t="s">
        <v>282</v>
      </c>
    </row>
    <row r="21" spans="1:2" x14ac:dyDescent="0.35">
      <c r="A21" s="16" t="s">
        <v>31</v>
      </c>
      <c r="B21" s="3" t="s">
        <v>26</v>
      </c>
    </row>
    <row r="22" spans="1:2" x14ac:dyDescent="0.35">
      <c r="A22" s="44" t="s">
        <v>14</v>
      </c>
      <c r="B22" s="3" t="s">
        <v>293</v>
      </c>
    </row>
    <row r="23" spans="1:2" x14ac:dyDescent="0.35">
      <c r="A23" s="15" t="s">
        <v>15</v>
      </c>
      <c r="B23" s="3" t="s">
        <v>27</v>
      </c>
    </row>
    <row r="24" spans="1:2" ht="15" thickBot="1" x14ac:dyDescent="0.4">
      <c r="A24" s="18" t="s">
        <v>16</v>
      </c>
      <c r="B24" s="3" t="s">
        <v>294</v>
      </c>
    </row>
    <row r="25" spans="1:2" ht="15" thickBot="1" x14ac:dyDescent="0.4">
      <c r="A25" s="5"/>
      <c r="B25" s="1"/>
    </row>
    <row r="26" spans="1:2" ht="44" thickBot="1" x14ac:dyDescent="0.4">
      <c r="A26" s="19" t="s">
        <v>17</v>
      </c>
      <c r="B26" s="2" t="s">
        <v>28</v>
      </c>
    </row>
    <row r="27" spans="1:2" x14ac:dyDescent="0.35">
      <c r="B27" t="s">
        <v>29</v>
      </c>
    </row>
  </sheetData>
  <mergeCells count="1">
    <mergeCell ref="A1:B1"/>
  </mergeCells>
  <conditionalFormatting sqref="A5:A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38" right="0.25" top="0.75" bottom="0.75" header="0.3" footer="0.3"/>
  <pageSetup orientation="landscape" r:id="rId1"/>
  <headerFooter>
    <oddFooter>&amp;LPrepared by: Miraj Sangani&amp;CCover Page&amp;R&amp;P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45213-2B52-4136-AAC2-2FE9CA2B9F3A}">
  <sheetPr>
    <tabColor rgb="FF92D050"/>
    <pageSetUpPr fitToPage="1"/>
  </sheetPr>
  <dimension ref="A1:O55"/>
  <sheetViews>
    <sheetView zoomScaleNormal="100" zoomScalePageLayoutView="55" workbookViewId="0"/>
  </sheetViews>
  <sheetFormatPr defaultRowHeight="14.5" x14ac:dyDescent="0.35"/>
  <cols>
    <col min="1" max="1" width="12.26953125" customWidth="1"/>
    <col min="2" max="2" width="41.1796875" bestFit="1" customWidth="1"/>
    <col min="3" max="3" width="13.26953125" bestFit="1" customWidth="1"/>
    <col min="4" max="4" width="13" bestFit="1" customWidth="1"/>
    <col min="5" max="10" width="12.08984375" bestFit="1" customWidth="1"/>
    <col min="11" max="14" width="13" bestFit="1" customWidth="1"/>
    <col min="15" max="15" width="14.6328125" bestFit="1" customWidth="1"/>
  </cols>
  <sheetData>
    <row r="1" spans="1:15" ht="15" thickBot="1" x14ac:dyDescent="0.4">
      <c r="B1" s="296" t="s">
        <v>414</v>
      </c>
      <c r="C1" s="297"/>
      <c r="D1" s="297"/>
      <c r="E1" s="297"/>
      <c r="F1" s="297"/>
      <c r="G1" s="298"/>
      <c r="H1" s="161"/>
      <c r="I1" s="161"/>
      <c r="J1" s="161"/>
      <c r="K1" s="161"/>
      <c r="L1" s="161"/>
      <c r="M1" s="161"/>
      <c r="N1" s="161"/>
      <c r="O1" s="161"/>
    </row>
    <row r="2" spans="1:15" x14ac:dyDescent="0.35">
      <c r="B2" s="290" t="s">
        <v>416</v>
      </c>
      <c r="C2" s="291"/>
      <c r="D2" s="291"/>
      <c r="E2" s="291"/>
      <c r="F2" s="291"/>
      <c r="G2" s="292"/>
      <c r="H2" s="161"/>
      <c r="I2" s="161"/>
      <c r="J2" s="161"/>
      <c r="K2" s="161"/>
      <c r="L2" s="161"/>
      <c r="M2" s="161"/>
      <c r="N2" s="161"/>
      <c r="O2" s="161"/>
    </row>
    <row r="3" spans="1:15" ht="15" thickBot="1" x14ac:dyDescent="0.4">
      <c r="B3" s="293" t="s">
        <v>188</v>
      </c>
      <c r="C3" s="294"/>
      <c r="D3" s="294"/>
      <c r="E3" s="294"/>
      <c r="F3" s="294"/>
      <c r="G3" s="295"/>
      <c r="H3" s="161"/>
      <c r="I3" s="161"/>
      <c r="J3" s="161"/>
      <c r="K3" s="161"/>
      <c r="L3" s="161"/>
      <c r="M3" s="161"/>
      <c r="N3" s="161"/>
      <c r="O3" s="161"/>
    </row>
    <row r="4" spans="1:15" x14ac:dyDescent="0.35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</row>
    <row r="5" spans="1:15" x14ac:dyDescent="0.35">
      <c r="A5" s="57"/>
      <c r="B5" s="57"/>
      <c r="C5" s="159">
        <v>1</v>
      </c>
      <c r="D5" s="159">
        <v>2</v>
      </c>
      <c r="E5" s="159">
        <v>3</v>
      </c>
      <c r="F5" s="159">
        <v>4</v>
      </c>
      <c r="G5" s="159">
        <v>5</v>
      </c>
      <c r="H5" s="159">
        <v>6</v>
      </c>
      <c r="I5" s="159">
        <v>7</v>
      </c>
      <c r="J5" s="159">
        <v>8</v>
      </c>
      <c r="K5" s="159">
        <v>9</v>
      </c>
      <c r="L5" s="159">
        <v>10</v>
      </c>
      <c r="M5" s="159">
        <v>11</v>
      </c>
      <c r="N5" s="159">
        <v>12</v>
      </c>
      <c r="O5" s="57"/>
    </row>
    <row r="6" spans="1:15" x14ac:dyDescent="0.35">
      <c r="A6" s="161" t="s">
        <v>189</v>
      </c>
      <c r="B6" s="273" t="s">
        <v>178</v>
      </c>
      <c r="C6" s="168">
        <v>45658</v>
      </c>
      <c r="D6" s="168">
        <v>45689</v>
      </c>
      <c r="E6" s="168">
        <v>45717</v>
      </c>
      <c r="F6" s="168">
        <v>45748</v>
      </c>
      <c r="G6" s="168">
        <v>45778</v>
      </c>
      <c r="H6" s="168">
        <v>45809</v>
      </c>
      <c r="I6" s="168">
        <v>45839</v>
      </c>
      <c r="J6" s="168">
        <v>45870</v>
      </c>
      <c r="K6" s="168">
        <v>45901</v>
      </c>
      <c r="L6" s="168">
        <v>45931</v>
      </c>
      <c r="M6" s="168">
        <v>45962</v>
      </c>
      <c r="N6" s="168">
        <v>45992</v>
      </c>
      <c r="O6" s="167" t="s">
        <v>190</v>
      </c>
    </row>
    <row r="7" spans="1:15" x14ac:dyDescent="0.35">
      <c r="A7" s="359" t="s">
        <v>191</v>
      </c>
      <c r="B7" s="160" t="s">
        <v>192</v>
      </c>
      <c r="C7" s="163">
        <f>'Sales+Inv+Cost'!B19</f>
        <v>819</v>
      </c>
      <c r="D7" s="163">
        <f>'Sales+Inv+Cost'!C19</f>
        <v>1638</v>
      </c>
      <c r="E7" s="163">
        <f>'Sales+Inv+Cost'!D19</f>
        <v>1638</v>
      </c>
      <c r="F7" s="163">
        <f>'Sales+Inv+Cost'!E19</f>
        <v>2047.4999999999998</v>
      </c>
      <c r="G7" s="163">
        <f>'Sales+Inv+Cost'!F19</f>
        <v>819</v>
      </c>
      <c r="H7" s="163">
        <f>'Sales+Inv+Cost'!G19</f>
        <v>2047.4999999999998</v>
      </c>
      <c r="I7" s="163">
        <f>'Sales+Inv+Cost'!H19</f>
        <v>3276</v>
      </c>
      <c r="J7" s="163">
        <f>'Sales+Inv+Cost'!I19</f>
        <v>3276</v>
      </c>
      <c r="K7" s="163">
        <f>'Sales+Inv+Cost'!J19</f>
        <v>4094.9999999999995</v>
      </c>
      <c r="L7" s="163">
        <f>'Sales+Inv+Cost'!K19</f>
        <v>4914</v>
      </c>
      <c r="M7" s="163">
        <f>'Sales+Inv+Cost'!L19</f>
        <v>7370.9999999999991</v>
      </c>
      <c r="N7" s="163">
        <f>'Sales+Inv+Cost'!M19</f>
        <v>9009</v>
      </c>
      <c r="O7" s="186">
        <f>SUM(C7:N7)</f>
        <v>40950</v>
      </c>
    </row>
    <row r="8" spans="1:15" x14ac:dyDescent="0.35">
      <c r="A8" s="57" t="s">
        <v>191</v>
      </c>
      <c r="B8" s="160" t="s">
        <v>193</v>
      </c>
      <c r="C8" s="163">
        <f>'Sales+Inv+Cost'!B20</f>
        <v>351.00000000000006</v>
      </c>
      <c r="D8" s="163">
        <f>'Sales+Inv+Cost'!C20</f>
        <v>702.00000000000011</v>
      </c>
      <c r="E8" s="163">
        <f>'Sales+Inv+Cost'!D20</f>
        <v>702.00000000000011</v>
      </c>
      <c r="F8" s="163">
        <f>'Sales+Inv+Cost'!E20</f>
        <v>877.50000000000011</v>
      </c>
      <c r="G8" s="163">
        <f>'Sales+Inv+Cost'!F20</f>
        <v>351.00000000000006</v>
      </c>
      <c r="H8" s="163">
        <f>'Sales+Inv+Cost'!G20</f>
        <v>877.50000000000011</v>
      </c>
      <c r="I8" s="163">
        <f>'Sales+Inv+Cost'!H20</f>
        <v>1404.0000000000002</v>
      </c>
      <c r="J8" s="163">
        <f>'Sales+Inv+Cost'!I20</f>
        <v>1404.0000000000002</v>
      </c>
      <c r="K8" s="163">
        <f>'Sales+Inv+Cost'!J20</f>
        <v>1755.0000000000002</v>
      </c>
      <c r="L8" s="163">
        <f>'Sales+Inv+Cost'!K20</f>
        <v>2106.0000000000005</v>
      </c>
      <c r="M8" s="163">
        <f>'Sales+Inv+Cost'!L20</f>
        <v>3159.0000000000005</v>
      </c>
      <c r="N8" s="163">
        <f>'Sales+Inv+Cost'!M20</f>
        <v>3861.0000000000005</v>
      </c>
      <c r="O8" s="186">
        <f t="shared" ref="O8:O17" si="0">SUM(C8:N8)</f>
        <v>17550.000000000004</v>
      </c>
    </row>
    <row r="9" spans="1:15" x14ac:dyDescent="0.35">
      <c r="A9" s="57"/>
      <c r="B9" s="256" t="s">
        <v>45</v>
      </c>
      <c r="C9" s="186">
        <f>'Sales+Inv+Cost'!B18</f>
        <v>1170</v>
      </c>
      <c r="D9" s="186">
        <f>'Sales+Inv+Cost'!C18</f>
        <v>2340</v>
      </c>
      <c r="E9" s="186">
        <f>'Sales+Inv+Cost'!D18</f>
        <v>2340</v>
      </c>
      <c r="F9" s="186">
        <f>'Sales+Inv+Cost'!E18</f>
        <v>2925</v>
      </c>
      <c r="G9" s="186">
        <f>'Sales+Inv+Cost'!F18</f>
        <v>1170</v>
      </c>
      <c r="H9" s="186">
        <f>'Sales+Inv+Cost'!G18</f>
        <v>2925</v>
      </c>
      <c r="I9" s="186">
        <f>'Sales+Inv+Cost'!H18</f>
        <v>4680</v>
      </c>
      <c r="J9" s="186">
        <f>'Sales+Inv+Cost'!I18</f>
        <v>4680</v>
      </c>
      <c r="K9" s="186">
        <f>'Sales+Inv+Cost'!J18</f>
        <v>5850</v>
      </c>
      <c r="L9" s="186">
        <f>'Sales+Inv+Cost'!K18</f>
        <v>7020</v>
      </c>
      <c r="M9" s="186">
        <f>'Sales+Inv+Cost'!L18</f>
        <v>10530</v>
      </c>
      <c r="N9" s="186">
        <f>'Sales+Inv+Cost'!M18</f>
        <v>12870</v>
      </c>
      <c r="O9" s="186">
        <f t="shared" si="0"/>
        <v>58500</v>
      </c>
    </row>
    <row r="10" spans="1:15" x14ac:dyDescent="0.35">
      <c r="A10" s="57" t="s">
        <v>191</v>
      </c>
      <c r="B10" s="160" t="s">
        <v>194</v>
      </c>
      <c r="C10" s="163">
        <f>'Sales+Inv+Cost'!B26</f>
        <v>0</v>
      </c>
      <c r="D10" s="163">
        <f>'Sales+Inv+Cost'!C26</f>
        <v>1092.0000000000002</v>
      </c>
      <c r="E10" s="163">
        <f>'Sales+Inv+Cost'!D26</f>
        <v>624</v>
      </c>
      <c r="F10" s="163">
        <f>'Sales+Inv+Cost'!E26</f>
        <v>780</v>
      </c>
      <c r="G10" s="163">
        <f>'Sales+Inv+Cost'!F26</f>
        <v>0</v>
      </c>
      <c r="H10" s="163">
        <f>'Sales+Inv+Cost'!G26</f>
        <v>0</v>
      </c>
      <c r="I10" s="163">
        <f>'Sales+Inv+Cost'!H26</f>
        <v>780</v>
      </c>
      <c r="J10" s="163">
        <f>'Sales+Inv+Cost'!I26</f>
        <v>1560</v>
      </c>
      <c r="K10" s="163">
        <f>'Sales+Inv+Cost'!J26</f>
        <v>2028</v>
      </c>
      <c r="L10" s="163">
        <f>'Sales+Inv+Cost'!K26</f>
        <v>2964</v>
      </c>
      <c r="M10" s="163">
        <f>'Sales+Inv+Cost'!L26</f>
        <v>3900</v>
      </c>
      <c r="N10" s="163">
        <f>'Sales+Inv+Cost'!M26</f>
        <v>1872</v>
      </c>
      <c r="O10" s="186">
        <f t="shared" si="0"/>
        <v>15600</v>
      </c>
    </row>
    <row r="11" spans="1:15" x14ac:dyDescent="0.35">
      <c r="A11" s="57" t="s">
        <v>191</v>
      </c>
      <c r="B11" s="160" t="s">
        <v>195</v>
      </c>
      <c r="C11" s="163">
        <f>'Sales+Inv+Cost'!B27</f>
        <v>0</v>
      </c>
      <c r="D11" s="163">
        <f>'Sales+Inv+Cost'!C27</f>
        <v>9828.0000000000018</v>
      </c>
      <c r="E11" s="163">
        <f>'Sales+Inv+Cost'!D27</f>
        <v>5616</v>
      </c>
      <c r="F11" s="163">
        <f>'Sales+Inv+Cost'!E27</f>
        <v>7020</v>
      </c>
      <c r="G11" s="163">
        <f>'Sales+Inv+Cost'!F27</f>
        <v>0</v>
      </c>
      <c r="H11" s="163">
        <f>'Sales+Inv+Cost'!G27</f>
        <v>0</v>
      </c>
      <c r="I11" s="163">
        <f>'Sales+Inv+Cost'!H27</f>
        <v>7020</v>
      </c>
      <c r="J11" s="163">
        <f>'Sales+Inv+Cost'!I27</f>
        <v>14040</v>
      </c>
      <c r="K11" s="163">
        <f>'Sales+Inv+Cost'!J27</f>
        <v>18252</v>
      </c>
      <c r="L11" s="163">
        <f>'Sales+Inv+Cost'!K27</f>
        <v>26676</v>
      </c>
      <c r="M11" s="163">
        <f>'Sales+Inv+Cost'!L27</f>
        <v>35100</v>
      </c>
      <c r="N11" s="163">
        <f>'Sales+Inv+Cost'!M27</f>
        <v>16848</v>
      </c>
      <c r="O11" s="186">
        <f t="shared" si="0"/>
        <v>140400</v>
      </c>
    </row>
    <row r="12" spans="1:15" x14ac:dyDescent="0.35">
      <c r="A12" s="57"/>
      <c r="B12" s="256" t="s">
        <v>196</v>
      </c>
      <c r="C12" s="186">
        <f>'Sales+Inv+Cost'!B25</f>
        <v>0</v>
      </c>
      <c r="D12" s="186">
        <f>'Sales+Inv+Cost'!C25</f>
        <v>10920.000000000002</v>
      </c>
      <c r="E12" s="186">
        <f>'Sales+Inv+Cost'!D25</f>
        <v>6240</v>
      </c>
      <c r="F12" s="186">
        <f>'Sales+Inv+Cost'!E25</f>
        <v>7800</v>
      </c>
      <c r="G12" s="186">
        <f>'Sales+Inv+Cost'!F25</f>
        <v>0</v>
      </c>
      <c r="H12" s="186">
        <f>'Sales+Inv+Cost'!G25</f>
        <v>0</v>
      </c>
      <c r="I12" s="186">
        <f>'Sales+Inv+Cost'!H25</f>
        <v>7800</v>
      </c>
      <c r="J12" s="186">
        <f>'Sales+Inv+Cost'!I25</f>
        <v>15600</v>
      </c>
      <c r="K12" s="186">
        <f>'Sales+Inv+Cost'!J25</f>
        <v>20280</v>
      </c>
      <c r="L12" s="186">
        <f>'Sales+Inv+Cost'!K25</f>
        <v>29640</v>
      </c>
      <c r="M12" s="186">
        <f>'Sales+Inv+Cost'!L25</f>
        <v>39000</v>
      </c>
      <c r="N12" s="186">
        <f>'Sales+Inv+Cost'!M25</f>
        <v>18720</v>
      </c>
      <c r="O12" s="186">
        <f t="shared" si="0"/>
        <v>156000</v>
      </c>
    </row>
    <row r="13" spans="1:15" x14ac:dyDescent="0.35">
      <c r="A13" s="57" t="s">
        <v>191</v>
      </c>
      <c r="B13" s="160" t="s">
        <v>197</v>
      </c>
      <c r="C13" s="163">
        <f>'Sales+Inv+Cost'!B33</f>
        <v>0</v>
      </c>
      <c r="D13" s="163">
        <f>'Sales+Inv+Cost'!C33</f>
        <v>5746.0000000000018</v>
      </c>
      <c r="E13" s="163">
        <f>'Sales+Inv+Cost'!D33</f>
        <v>4309.5000000000009</v>
      </c>
      <c r="F13" s="163">
        <f>'Sales+Inv+Cost'!E33</f>
        <v>3591.2500000000009</v>
      </c>
      <c r="G13" s="163">
        <f>'Sales+Inv+Cost'!F33</f>
        <v>2873.0000000000009</v>
      </c>
      <c r="H13" s="163">
        <f>'Sales+Inv+Cost'!G33</f>
        <v>2154.7500000000005</v>
      </c>
      <c r="I13" s="163">
        <f>'Sales+Inv+Cost'!H33</f>
        <v>2154.7500000000005</v>
      </c>
      <c r="J13" s="163">
        <f>'Sales+Inv+Cost'!I33</f>
        <v>1436.5000000000005</v>
      </c>
      <c r="K13" s="163">
        <f>'Sales+Inv+Cost'!J33</f>
        <v>6464.2500000000018</v>
      </c>
      <c r="L13" s="163">
        <f>'Sales+Inv+Cost'!K33</f>
        <v>11492.000000000004</v>
      </c>
      <c r="M13" s="163">
        <f>'Sales+Inv+Cost'!L33</f>
        <v>13646.750000000004</v>
      </c>
      <c r="N13" s="163">
        <f>'Sales+Inv+Cost'!M33</f>
        <v>17956.250000000004</v>
      </c>
      <c r="O13" s="186">
        <f t="shared" si="0"/>
        <v>71825.000000000015</v>
      </c>
    </row>
    <row r="14" spans="1:15" x14ac:dyDescent="0.35">
      <c r="A14" s="57" t="s">
        <v>191</v>
      </c>
      <c r="B14" s="160" t="s">
        <v>198</v>
      </c>
      <c r="C14" s="163">
        <f>'Sales+Inv+Cost'!B38</f>
        <v>0</v>
      </c>
      <c r="D14" s="163">
        <f>'Sales+Inv+Cost'!C38</f>
        <v>0</v>
      </c>
      <c r="E14" s="163">
        <f>'Sales+Inv+Cost'!D38</f>
        <v>3094.0000000000005</v>
      </c>
      <c r="F14" s="163">
        <f>'Sales+Inv+Cost'!E38</f>
        <v>2320.5</v>
      </c>
      <c r="G14" s="163">
        <f>'Sales+Inv+Cost'!F38</f>
        <v>1933.7500000000002</v>
      </c>
      <c r="H14" s="163">
        <f>'Sales+Inv+Cost'!G38</f>
        <v>1547.0000000000002</v>
      </c>
      <c r="I14" s="163">
        <f>'Sales+Inv+Cost'!H38</f>
        <v>1160.25</v>
      </c>
      <c r="J14" s="163">
        <f>'Sales+Inv+Cost'!I38</f>
        <v>1160.25</v>
      </c>
      <c r="K14" s="163">
        <f>'Sales+Inv+Cost'!J38</f>
        <v>773.50000000000011</v>
      </c>
      <c r="L14" s="163">
        <f>'Sales+Inv+Cost'!K38</f>
        <v>3480.7500000000005</v>
      </c>
      <c r="M14" s="163">
        <f>'Sales+Inv+Cost'!L38</f>
        <v>6188.0000000000009</v>
      </c>
      <c r="N14" s="163">
        <f>'Sales+Inv+Cost'!M38</f>
        <v>7348.2500000000009</v>
      </c>
      <c r="O14" s="186">
        <f t="shared" si="0"/>
        <v>29006.25</v>
      </c>
    </row>
    <row r="15" spans="1:15" ht="15" thickBot="1" x14ac:dyDescent="0.4">
      <c r="A15" s="57"/>
      <c r="B15" s="257" t="s">
        <v>199</v>
      </c>
      <c r="C15" s="172">
        <f>SUM(C13:C14)</f>
        <v>0</v>
      </c>
      <c r="D15" s="172">
        <f t="shared" ref="D15:N15" si="1">SUM(D13:D14)</f>
        <v>5746.0000000000018</v>
      </c>
      <c r="E15" s="172">
        <f t="shared" si="1"/>
        <v>7403.5000000000018</v>
      </c>
      <c r="F15" s="172">
        <f t="shared" si="1"/>
        <v>5911.7500000000009</v>
      </c>
      <c r="G15" s="172">
        <f t="shared" si="1"/>
        <v>4806.7500000000009</v>
      </c>
      <c r="H15" s="172">
        <f t="shared" si="1"/>
        <v>3701.7500000000009</v>
      </c>
      <c r="I15" s="172">
        <f t="shared" si="1"/>
        <v>3315.0000000000005</v>
      </c>
      <c r="J15" s="172">
        <f t="shared" si="1"/>
        <v>2596.7500000000005</v>
      </c>
      <c r="K15" s="172">
        <f t="shared" si="1"/>
        <v>7237.7500000000018</v>
      </c>
      <c r="L15" s="172">
        <f t="shared" si="1"/>
        <v>14972.750000000004</v>
      </c>
      <c r="M15" s="172">
        <f t="shared" si="1"/>
        <v>19834.750000000004</v>
      </c>
      <c r="N15" s="172">
        <f t="shared" si="1"/>
        <v>25304.500000000004</v>
      </c>
      <c r="O15" s="172">
        <f t="shared" si="0"/>
        <v>100831.25000000001</v>
      </c>
    </row>
    <row r="16" spans="1:15" ht="15" thickBot="1" x14ac:dyDescent="0.4">
      <c r="A16" s="57"/>
      <c r="B16" s="258" t="s">
        <v>200</v>
      </c>
      <c r="C16" s="199">
        <f>C9+C12+C15</f>
        <v>1170</v>
      </c>
      <c r="D16" s="199">
        <f t="shared" ref="D16:N16" si="2">D9+D12+D15</f>
        <v>19006.000000000004</v>
      </c>
      <c r="E16" s="199">
        <f t="shared" si="2"/>
        <v>15983.500000000002</v>
      </c>
      <c r="F16" s="199">
        <f t="shared" si="2"/>
        <v>16636.75</v>
      </c>
      <c r="G16" s="199">
        <f t="shared" si="2"/>
        <v>5976.7500000000009</v>
      </c>
      <c r="H16" s="199">
        <f t="shared" si="2"/>
        <v>6626.7500000000009</v>
      </c>
      <c r="I16" s="199">
        <f t="shared" si="2"/>
        <v>15795</v>
      </c>
      <c r="J16" s="199">
        <f t="shared" si="2"/>
        <v>22876.75</v>
      </c>
      <c r="K16" s="199">
        <f t="shared" si="2"/>
        <v>33367.75</v>
      </c>
      <c r="L16" s="199">
        <f t="shared" si="2"/>
        <v>51632.75</v>
      </c>
      <c r="M16" s="199">
        <f t="shared" si="2"/>
        <v>69364.75</v>
      </c>
      <c r="N16" s="199">
        <f t="shared" si="2"/>
        <v>56894.5</v>
      </c>
      <c r="O16" s="259">
        <f t="shared" si="0"/>
        <v>315331.25</v>
      </c>
    </row>
    <row r="17" spans="1:15" x14ac:dyDescent="0.35">
      <c r="A17" s="57" t="s">
        <v>201</v>
      </c>
      <c r="B17" s="190" t="s">
        <v>202</v>
      </c>
      <c r="C17" s="192">
        <f>Startup!B33</f>
        <v>60000</v>
      </c>
      <c r="D17" s="192">
        <v>0</v>
      </c>
      <c r="E17" s="192">
        <v>0</v>
      </c>
      <c r="F17" s="192">
        <v>0</v>
      </c>
      <c r="G17" s="192">
        <v>0</v>
      </c>
      <c r="H17" s="192">
        <v>0</v>
      </c>
      <c r="I17" s="192">
        <v>0</v>
      </c>
      <c r="J17" s="192">
        <v>0</v>
      </c>
      <c r="K17" s="192">
        <v>0</v>
      </c>
      <c r="L17" s="192">
        <v>0</v>
      </c>
      <c r="M17" s="192">
        <v>0</v>
      </c>
      <c r="N17" s="192">
        <v>0</v>
      </c>
      <c r="O17" s="170">
        <f t="shared" si="0"/>
        <v>60000</v>
      </c>
    </row>
    <row r="18" spans="1:15" ht="15" thickBot="1" x14ac:dyDescent="0.4">
      <c r="A18" s="57" t="s">
        <v>8</v>
      </c>
      <c r="B18" s="261" t="s">
        <v>203</v>
      </c>
      <c r="C18" s="171">
        <f>Financing!B16</f>
        <v>35000</v>
      </c>
      <c r="D18" s="212">
        <v>0</v>
      </c>
      <c r="E18" s="212">
        <v>0</v>
      </c>
      <c r="F18" s="212">
        <v>0</v>
      </c>
      <c r="G18" s="212">
        <v>0</v>
      </c>
      <c r="H18" s="212">
        <v>0</v>
      </c>
      <c r="I18" s="212">
        <v>0</v>
      </c>
      <c r="J18" s="212">
        <v>0</v>
      </c>
      <c r="K18" s="212">
        <v>0</v>
      </c>
      <c r="L18" s="212">
        <v>0</v>
      </c>
      <c r="M18" s="212">
        <v>0</v>
      </c>
      <c r="N18" s="212">
        <v>0</v>
      </c>
      <c r="O18" s="263">
        <f>SUM(C18:N18)</f>
        <v>35000</v>
      </c>
    </row>
    <row r="19" spans="1:15" ht="15" thickBot="1" x14ac:dyDescent="0.4">
      <c r="A19" s="57"/>
      <c r="B19" s="260" t="s">
        <v>204</v>
      </c>
      <c r="C19" s="173">
        <f>C16+C17+C18</f>
        <v>96170</v>
      </c>
      <c r="D19" s="173">
        <f t="shared" ref="D19:O19" si="3">D16+D17+D18</f>
        <v>19006.000000000004</v>
      </c>
      <c r="E19" s="173">
        <f t="shared" si="3"/>
        <v>15983.500000000002</v>
      </c>
      <c r="F19" s="173">
        <f t="shared" si="3"/>
        <v>16636.75</v>
      </c>
      <c r="G19" s="173">
        <f t="shared" si="3"/>
        <v>5976.7500000000009</v>
      </c>
      <c r="H19" s="173">
        <f t="shared" si="3"/>
        <v>6626.7500000000009</v>
      </c>
      <c r="I19" s="173">
        <f t="shared" si="3"/>
        <v>15795</v>
      </c>
      <c r="J19" s="173">
        <f t="shared" si="3"/>
        <v>22876.75</v>
      </c>
      <c r="K19" s="173">
        <f t="shared" si="3"/>
        <v>33367.75</v>
      </c>
      <c r="L19" s="173">
        <f t="shared" si="3"/>
        <v>51632.75</v>
      </c>
      <c r="M19" s="173">
        <f t="shared" si="3"/>
        <v>69364.75</v>
      </c>
      <c r="N19" s="173">
        <f t="shared" si="3"/>
        <v>56894.5</v>
      </c>
      <c r="O19" s="262">
        <f t="shared" si="3"/>
        <v>410331.25</v>
      </c>
    </row>
    <row r="20" spans="1:15" ht="15" thickTop="1" x14ac:dyDescent="0.35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</row>
    <row r="21" spans="1:15" x14ac:dyDescent="0.35">
      <c r="A21" s="164"/>
      <c r="B21" s="272" t="s">
        <v>205</v>
      </c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</row>
    <row r="22" spans="1:15" x14ac:dyDescent="0.35">
      <c r="A22" s="164" t="s">
        <v>201</v>
      </c>
      <c r="B22" s="165" t="s">
        <v>155</v>
      </c>
      <c r="C22" s="165">
        <f>Startup!B23</f>
        <v>11910</v>
      </c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264">
        <f>SUM(C22:N22)</f>
        <v>11910</v>
      </c>
    </row>
    <row r="23" spans="1:15" x14ac:dyDescent="0.35">
      <c r="A23" s="164" t="s">
        <v>206</v>
      </c>
      <c r="B23" s="165" t="s">
        <v>207</v>
      </c>
      <c r="C23" s="165">
        <f>'HR Exp'!E24</f>
        <v>0</v>
      </c>
      <c r="D23" s="165">
        <f>'HR Exp'!F24</f>
        <v>0</v>
      </c>
      <c r="E23" s="165">
        <f>'HR Exp'!G24</f>
        <v>4782.3999999999996</v>
      </c>
      <c r="F23" s="165">
        <f>'HR Exp'!H24</f>
        <v>5044.3599999999997</v>
      </c>
      <c r="G23" s="165">
        <f>'HR Exp'!I24</f>
        <v>4782.3999999999996</v>
      </c>
      <c r="H23" s="165">
        <f>'HR Exp'!J24</f>
        <v>4782.3999999999996</v>
      </c>
      <c r="I23" s="165">
        <f>'HR Exp'!K24</f>
        <v>5328.15</v>
      </c>
      <c r="J23" s="165">
        <f>'HR Exp'!L24</f>
        <v>5873.9</v>
      </c>
      <c r="K23" s="165">
        <f>'HR Exp'!M24</f>
        <v>8275.2000000000007</v>
      </c>
      <c r="L23" s="165">
        <f>'HR Exp'!N24</f>
        <v>9148.4</v>
      </c>
      <c r="M23" s="165">
        <f>'HR Exp'!O24</f>
        <v>10239.9</v>
      </c>
      <c r="N23" s="165">
        <f>'HR Exp'!P24</f>
        <v>7838.5999999999995</v>
      </c>
      <c r="O23" s="264">
        <f>SUM(C23:N23)</f>
        <v>66095.710000000006</v>
      </c>
    </row>
    <row r="24" spans="1:15" x14ac:dyDescent="0.35">
      <c r="A24" s="164" t="s">
        <v>208</v>
      </c>
      <c r="B24" s="165" t="s">
        <v>209</v>
      </c>
      <c r="C24" s="165">
        <f>'Other Exp'!$F$3</f>
        <v>325</v>
      </c>
      <c r="D24" s="165">
        <f>'Other Exp'!$F$3</f>
        <v>325</v>
      </c>
      <c r="E24" s="165">
        <f>'Other Exp'!$F$3</f>
        <v>325</v>
      </c>
      <c r="F24" s="165">
        <f>'Other Exp'!$F$3</f>
        <v>325</v>
      </c>
      <c r="G24" s="165">
        <f>'Other Exp'!$F$3</f>
        <v>325</v>
      </c>
      <c r="H24" s="165">
        <f>'Other Exp'!$F$3</f>
        <v>325</v>
      </c>
      <c r="I24" s="165">
        <f>'Other Exp'!$F$3</f>
        <v>325</v>
      </c>
      <c r="J24" s="165">
        <f>'Other Exp'!$F$3</f>
        <v>325</v>
      </c>
      <c r="K24" s="165">
        <f>'Other Exp'!$F$3</f>
        <v>325</v>
      </c>
      <c r="L24" s="165">
        <f>'Other Exp'!$F$3</f>
        <v>325</v>
      </c>
      <c r="M24" s="165">
        <f>'Other Exp'!$F$3</f>
        <v>325</v>
      </c>
      <c r="N24" s="165">
        <f>'Other Exp'!$F$3</f>
        <v>325</v>
      </c>
      <c r="O24" s="264">
        <f>SUM(C24:N24)</f>
        <v>3900</v>
      </c>
    </row>
    <row r="25" spans="1:15" x14ac:dyDescent="0.35">
      <c r="A25" s="164" t="s">
        <v>208</v>
      </c>
      <c r="B25" s="165" t="s">
        <v>210</v>
      </c>
      <c r="C25" s="165">
        <f>'Other Exp'!$F$8</f>
        <v>350</v>
      </c>
      <c r="D25" s="165">
        <f>'Other Exp'!$F$8</f>
        <v>350</v>
      </c>
      <c r="E25" s="165">
        <f>'Other Exp'!$F$8</f>
        <v>350</v>
      </c>
      <c r="F25" s="165">
        <f>'Other Exp'!$F$8</f>
        <v>350</v>
      </c>
      <c r="G25" s="165">
        <f>'Other Exp'!$F$8</f>
        <v>350</v>
      </c>
      <c r="H25" s="165">
        <f>'Other Exp'!$F$8</f>
        <v>350</v>
      </c>
      <c r="I25" s="165">
        <f>'Other Exp'!$F$8</f>
        <v>350</v>
      </c>
      <c r="J25" s="165">
        <f>'Other Exp'!$F$8</f>
        <v>350</v>
      </c>
      <c r="K25" s="165">
        <f>'Other Exp'!$F$8</f>
        <v>350</v>
      </c>
      <c r="L25" s="165">
        <f>'Other Exp'!$F$8</f>
        <v>350</v>
      </c>
      <c r="M25" s="165">
        <f>'Other Exp'!$F$8</f>
        <v>350</v>
      </c>
      <c r="N25" s="165">
        <f>'Other Exp'!$F$8</f>
        <v>350</v>
      </c>
      <c r="O25" s="264">
        <f t="shared" ref="O25:O35" si="4">SUM(C25:N25)</f>
        <v>4200</v>
      </c>
    </row>
    <row r="26" spans="1:15" x14ac:dyDescent="0.35">
      <c r="A26" s="164" t="s">
        <v>208</v>
      </c>
      <c r="B26" s="165" t="s">
        <v>211</v>
      </c>
      <c r="C26" s="165">
        <f>'Other Exp'!$F$15</f>
        <v>858.85416666666663</v>
      </c>
      <c r="D26" s="165">
        <f>'Other Exp'!$F$15</f>
        <v>858.85416666666663</v>
      </c>
      <c r="E26" s="165">
        <f>'Other Exp'!$F$15</f>
        <v>858.85416666666663</v>
      </c>
      <c r="F26" s="165">
        <f>'Other Exp'!$F$15</f>
        <v>858.85416666666663</v>
      </c>
      <c r="G26" s="165">
        <f>'Other Exp'!$F$15</f>
        <v>858.85416666666663</v>
      </c>
      <c r="H26" s="165">
        <f>'Other Exp'!$F$15</f>
        <v>858.85416666666663</v>
      </c>
      <c r="I26" s="165">
        <f>'Other Exp'!$F$15</f>
        <v>858.85416666666663</v>
      </c>
      <c r="J26" s="165">
        <f>'Other Exp'!$F$15</f>
        <v>858.85416666666663</v>
      </c>
      <c r="K26" s="165">
        <f>'Other Exp'!$F$15</f>
        <v>858.85416666666663</v>
      </c>
      <c r="L26" s="165">
        <f>'Other Exp'!$F$15</f>
        <v>858.85416666666663</v>
      </c>
      <c r="M26" s="165">
        <f>'Other Exp'!$F$15</f>
        <v>858.85416666666663</v>
      </c>
      <c r="N26" s="165">
        <f>'Other Exp'!$F$15</f>
        <v>858.85416666666663</v>
      </c>
      <c r="O26" s="264">
        <f t="shared" si="4"/>
        <v>10306.25</v>
      </c>
    </row>
    <row r="27" spans="1:15" x14ac:dyDescent="0.35">
      <c r="A27" s="164" t="s">
        <v>208</v>
      </c>
      <c r="B27" s="165" t="s">
        <v>85</v>
      </c>
      <c r="C27" s="165">
        <f>'Other Exp'!F21</f>
        <v>1300</v>
      </c>
      <c r="D27" s="165">
        <f>'Other Exp'!G21</f>
        <v>1300</v>
      </c>
      <c r="E27" s="165">
        <f>'Other Exp'!H21</f>
        <v>1300</v>
      </c>
      <c r="F27" s="165">
        <f>'Other Exp'!I21</f>
        <v>1300</v>
      </c>
      <c r="G27" s="165">
        <f>'Other Exp'!J21</f>
        <v>1750</v>
      </c>
      <c r="H27" s="165">
        <f>'Other Exp'!K21</f>
        <v>0</v>
      </c>
      <c r="I27" s="165">
        <f>'Other Exp'!L21</f>
        <v>0</v>
      </c>
      <c r="J27" s="165">
        <f>'Other Exp'!M21</f>
        <v>0</v>
      </c>
      <c r="K27" s="165">
        <f>'Other Exp'!N21</f>
        <v>0</v>
      </c>
      <c r="L27" s="165">
        <f>'Other Exp'!O21</f>
        <v>650</v>
      </c>
      <c r="M27" s="165">
        <f>'Other Exp'!P21</f>
        <v>0</v>
      </c>
      <c r="N27" s="165">
        <f>'Other Exp'!Q21</f>
        <v>0</v>
      </c>
      <c r="O27" s="264">
        <f t="shared" si="4"/>
        <v>7600</v>
      </c>
    </row>
    <row r="28" spans="1:15" x14ac:dyDescent="0.35">
      <c r="A28" s="164" t="s">
        <v>208</v>
      </c>
      <c r="B28" s="165" t="s">
        <v>90</v>
      </c>
      <c r="C28" s="165">
        <f>'Other Exp'!F26</f>
        <v>0</v>
      </c>
      <c r="D28" s="165">
        <f>'Other Exp'!G26</f>
        <v>0</v>
      </c>
      <c r="E28" s="165">
        <f>'Other Exp'!H26</f>
        <v>375</v>
      </c>
      <c r="F28" s="165">
        <f>'Other Exp'!I26</f>
        <v>500</v>
      </c>
      <c r="G28" s="165">
        <f>'Other Exp'!J26</f>
        <v>225</v>
      </c>
      <c r="H28" s="165">
        <f>'Other Exp'!K26</f>
        <v>0</v>
      </c>
      <c r="I28" s="165">
        <f>'Other Exp'!L26</f>
        <v>0</v>
      </c>
      <c r="J28" s="165">
        <f>'Other Exp'!M26</f>
        <v>0</v>
      </c>
      <c r="K28" s="165">
        <f>'Other Exp'!N26</f>
        <v>500</v>
      </c>
      <c r="L28" s="165">
        <f>'Other Exp'!O26</f>
        <v>350</v>
      </c>
      <c r="M28" s="165">
        <f>'Other Exp'!P26</f>
        <v>375</v>
      </c>
      <c r="N28" s="165">
        <f>'Other Exp'!Q26</f>
        <v>500</v>
      </c>
      <c r="O28" s="264">
        <f t="shared" si="4"/>
        <v>2825</v>
      </c>
    </row>
    <row r="29" spans="1:15" x14ac:dyDescent="0.35">
      <c r="A29" s="164" t="s">
        <v>208</v>
      </c>
      <c r="B29" s="165" t="s">
        <v>212</v>
      </c>
      <c r="C29" s="165">
        <f>'Other Exp'!F31</f>
        <v>300</v>
      </c>
      <c r="D29" s="165">
        <f>'Other Exp'!G31</f>
        <v>300</v>
      </c>
      <c r="E29" s="165">
        <f>'Other Exp'!H31</f>
        <v>300</v>
      </c>
      <c r="F29" s="165">
        <f>'Other Exp'!I31</f>
        <v>300</v>
      </c>
      <c r="G29" s="165">
        <f>'Other Exp'!J31</f>
        <v>300</v>
      </c>
      <c r="H29" s="165">
        <f>'Other Exp'!K31</f>
        <v>300</v>
      </c>
      <c r="I29" s="165">
        <f>'Other Exp'!L31</f>
        <v>300</v>
      </c>
      <c r="J29" s="165">
        <f>'Other Exp'!M31</f>
        <v>300</v>
      </c>
      <c r="K29" s="165">
        <f>'Other Exp'!N31</f>
        <v>300</v>
      </c>
      <c r="L29" s="165">
        <f>'Other Exp'!O31</f>
        <v>500</v>
      </c>
      <c r="M29" s="165">
        <f>'Other Exp'!P31</f>
        <v>500</v>
      </c>
      <c r="N29" s="165">
        <f>'Other Exp'!Q31</f>
        <v>500</v>
      </c>
      <c r="O29" s="264">
        <f t="shared" si="4"/>
        <v>4200</v>
      </c>
    </row>
    <row r="30" spans="1:15" x14ac:dyDescent="0.35">
      <c r="A30" s="164" t="s">
        <v>208</v>
      </c>
      <c r="B30" s="165" t="s">
        <v>213</v>
      </c>
      <c r="C30" s="165">
        <f>'Other Exp'!$F$33</f>
        <v>110</v>
      </c>
      <c r="D30" s="165">
        <f>'Other Exp'!$F$33</f>
        <v>110</v>
      </c>
      <c r="E30" s="165">
        <f>'Other Exp'!$F$33</f>
        <v>110</v>
      </c>
      <c r="F30" s="165">
        <f>'Other Exp'!$F$33</f>
        <v>110</v>
      </c>
      <c r="G30" s="165">
        <f>'Other Exp'!$F$33</f>
        <v>110</v>
      </c>
      <c r="H30" s="165">
        <f>'Other Exp'!$F$33</f>
        <v>110</v>
      </c>
      <c r="I30" s="165">
        <f>'Other Exp'!$F$33</f>
        <v>110</v>
      </c>
      <c r="J30" s="165">
        <f>'Other Exp'!$F$33</f>
        <v>110</v>
      </c>
      <c r="K30" s="165">
        <f>'Other Exp'!$F$33</f>
        <v>110</v>
      </c>
      <c r="L30" s="165">
        <f>'Other Exp'!$F$33</f>
        <v>110</v>
      </c>
      <c r="M30" s="165">
        <f>'Other Exp'!$F$33</f>
        <v>110</v>
      </c>
      <c r="N30" s="165">
        <f>'Other Exp'!$F$33</f>
        <v>110</v>
      </c>
      <c r="O30" s="264">
        <f t="shared" si="4"/>
        <v>1320</v>
      </c>
    </row>
    <row r="31" spans="1:15" x14ac:dyDescent="0.35">
      <c r="A31" s="164" t="s">
        <v>208</v>
      </c>
      <c r="B31" s="165" t="s">
        <v>185</v>
      </c>
      <c r="C31" s="165">
        <f>'Other Exp'!$F$35</f>
        <v>2900</v>
      </c>
      <c r="D31" s="165">
        <f>'Other Exp'!$F$35</f>
        <v>2900</v>
      </c>
      <c r="E31" s="165">
        <f>'Other Exp'!$F$35</f>
        <v>2900</v>
      </c>
      <c r="F31" s="165">
        <f>'Other Exp'!$F$35</f>
        <v>2900</v>
      </c>
      <c r="G31" s="165">
        <f>'Other Exp'!$F$35</f>
        <v>2900</v>
      </c>
      <c r="H31" s="165">
        <f>'Other Exp'!$F$35</f>
        <v>2900</v>
      </c>
      <c r="I31" s="165">
        <f>'Other Exp'!$F$35</f>
        <v>2900</v>
      </c>
      <c r="J31" s="165">
        <f>'Other Exp'!$F$35</f>
        <v>2900</v>
      </c>
      <c r="K31" s="165">
        <f>'Other Exp'!$F$35</f>
        <v>2900</v>
      </c>
      <c r="L31" s="165">
        <f>'Other Exp'!$F$35</f>
        <v>2900</v>
      </c>
      <c r="M31" s="165">
        <f>'Other Exp'!$F$35</f>
        <v>2900</v>
      </c>
      <c r="N31" s="165">
        <f>'Other Exp'!$F$35</f>
        <v>2900</v>
      </c>
      <c r="O31" s="264">
        <f t="shared" si="4"/>
        <v>34800</v>
      </c>
    </row>
    <row r="32" spans="1:15" x14ac:dyDescent="0.35">
      <c r="A32" s="164" t="s">
        <v>208</v>
      </c>
      <c r="B32" s="165" t="s">
        <v>214</v>
      </c>
      <c r="C32" s="165">
        <f>'Other Exp'!$F$37</f>
        <v>40</v>
      </c>
      <c r="D32" s="165">
        <f>'Other Exp'!$F$37</f>
        <v>40</v>
      </c>
      <c r="E32" s="165">
        <f>'Other Exp'!$F$37</f>
        <v>40</v>
      </c>
      <c r="F32" s="165">
        <f>'Other Exp'!$F$37</f>
        <v>40</v>
      </c>
      <c r="G32" s="165">
        <f>'Other Exp'!$F$37</f>
        <v>40</v>
      </c>
      <c r="H32" s="165">
        <f>'Other Exp'!$F$37</f>
        <v>40</v>
      </c>
      <c r="I32" s="165">
        <f>'Other Exp'!$F$37</f>
        <v>40</v>
      </c>
      <c r="J32" s="165">
        <f>'Other Exp'!$F$37</f>
        <v>40</v>
      </c>
      <c r="K32" s="165">
        <f>'Other Exp'!$F$37</f>
        <v>40</v>
      </c>
      <c r="L32" s="165">
        <f>'Other Exp'!$F$37</f>
        <v>40</v>
      </c>
      <c r="M32" s="165">
        <f>'Other Exp'!$F$37</f>
        <v>40</v>
      </c>
      <c r="N32" s="165">
        <f>'Other Exp'!$F$37</f>
        <v>40</v>
      </c>
      <c r="O32" s="264">
        <f t="shared" si="4"/>
        <v>480</v>
      </c>
    </row>
    <row r="33" spans="1:15" x14ac:dyDescent="0.35">
      <c r="A33" s="164"/>
      <c r="B33" s="165" t="s">
        <v>137</v>
      </c>
      <c r="C33" s="165">
        <f>(C8+C11+C13)*Financing!$B$3</f>
        <v>11.407500000000002</v>
      </c>
      <c r="D33" s="165">
        <f>(D8+D11+D13)*Financing!$B$3</f>
        <v>528.97000000000014</v>
      </c>
      <c r="E33" s="165">
        <f>(E8+E11+E13)*Financing!$B$3</f>
        <v>345.39375000000001</v>
      </c>
      <c r="F33" s="165">
        <f>(F8+F11+F13)*Financing!$B$3</f>
        <v>373.38437500000003</v>
      </c>
      <c r="G33" s="165">
        <f>(G8+G11+G13)*Financing!$B$3</f>
        <v>104.78000000000003</v>
      </c>
      <c r="H33" s="165">
        <f>(H8+H11+H13)*Financing!$B$3</f>
        <v>98.548125000000013</v>
      </c>
      <c r="I33" s="165">
        <f>(I8+I11+I13)*Financing!$B$3</f>
        <v>343.80937499999999</v>
      </c>
      <c r="J33" s="165">
        <f>(J8+J11+J13)*Financing!$B$3</f>
        <v>548.61625000000004</v>
      </c>
      <c r="K33" s="165">
        <f>(K8+K11+K13)*Financing!$B$3</f>
        <v>860.31562500000007</v>
      </c>
      <c r="L33" s="165">
        <f>(L8+L11+L13)*Financing!$B$3</f>
        <v>1308.905</v>
      </c>
      <c r="M33" s="165">
        <f>(M8+M11+M13)*Financing!$B$3</f>
        <v>1686.9368750000001</v>
      </c>
      <c r="N33" s="165">
        <f>(N8+N11+N13)*Financing!$B$3</f>
        <v>1256.620625</v>
      </c>
      <c r="O33" s="264">
        <f>SUM(C33:N33)</f>
        <v>7467.6875</v>
      </c>
    </row>
    <row r="34" spans="1:15" x14ac:dyDescent="0.35">
      <c r="A34" s="164" t="s">
        <v>136</v>
      </c>
      <c r="B34" s="165" t="s">
        <v>215</v>
      </c>
      <c r="C34" s="165">
        <f>Financing!B25</f>
        <v>0</v>
      </c>
      <c r="D34" s="165">
        <f>Financing!C25</f>
        <v>102.08333333333334</v>
      </c>
      <c r="E34" s="165">
        <f>Financing!D25</f>
        <v>96.551341268664103</v>
      </c>
      <c r="F34" s="165">
        <f>Financing!E25</f>
        <v>91.003214227139566</v>
      </c>
      <c r="G34" s="165">
        <f>Financing!F25</f>
        <v>85.438905148410583</v>
      </c>
      <c r="H34" s="165">
        <f>Financing!G25</f>
        <v>79.858366834868647</v>
      </c>
      <c r="I34" s="165">
        <f>Financing!H25</f>
        <v>74.261551951245536</v>
      </c>
      <c r="J34" s="165">
        <f>Financing!I25</f>
        <v>68.648413024211877</v>
      </c>
      <c r="K34" s="165">
        <f>Financing!J25</f>
        <v>63.018902441974369</v>
      </c>
      <c r="L34" s="165">
        <f>Financing!K25</f>
        <v>57.372972453871988</v>
      </c>
      <c r="M34" s="165">
        <f>Financing!L25</f>
        <v>51.710575169970973</v>
      </c>
      <c r="N34" s="165">
        <f>Financing!M25</f>
        <v>46.031662560658589</v>
      </c>
      <c r="O34" s="264">
        <f t="shared" si="4"/>
        <v>815.97923841434954</v>
      </c>
    </row>
    <row r="35" spans="1:15" x14ac:dyDescent="0.35">
      <c r="A35" s="164"/>
      <c r="B35" s="165" t="s">
        <v>216</v>
      </c>
      <c r="C35" s="165">
        <v>0</v>
      </c>
      <c r="D35" s="165">
        <f>C51*Financing!$B$7</f>
        <v>0</v>
      </c>
      <c r="E35" s="165">
        <f>D51*Financing!$B$7</f>
        <v>0</v>
      </c>
      <c r="F35" s="165">
        <f>E51*Financing!$B$7</f>
        <v>0</v>
      </c>
      <c r="G35" s="165">
        <f>F51*Financing!$B$7</f>
        <v>0</v>
      </c>
      <c r="H35" s="165">
        <f>G51*Financing!$B$7</f>
        <v>0</v>
      </c>
      <c r="I35" s="165">
        <f>H51*Financing!$B$7</f>
        <v>28.96601794905439</v>
      </c>
      <c r="J35" s="165">
        <f>I51*Financing!$B$7</f>
        <v>81.663222263626935</v>
      </c>
      <c r="K35" s="165">
        <f>J51*Financing!$B$7</f>
        <v>127.20636268239168</v>
      </c>
      <c r="L35" s="165">
        <f>K51*Financing!$B$7</f>
        <v>182.51837975681147</v>
      </c>
      <c r="M35" s="165">
        <f>L51*Financing!$B$7</f>
        <v>164.61431670001423</v>
      </c>
      <c r="N35" s="165">
        <f>M51*Financing!$B$7</f>
        <v>18.949411257040442</v>
      </c>
      <c r="O35" s="264">
        <f t="shared" si="4"/>
        <v>603.91771060893916</v>
      </c>
    </row>
    <row r="36" spans="1:15" x14ac:dyDescent="0.35">
      <c r="A36" s="164"/>
      <c r="B36" s="184" t="s">
        <v>217</v>
      </c>
      <c r="C36" s="185">
        <f t="shared" ref="C36:N36" si="5">SUM(C22:C35)</f>
        <v>18105.261666666665</v>
      </c>
      <c r="D36" s="185">
        <f t="shared" si="5"/>
        <v>6814.9074999999993</v>
      </c>
      <c r="E36" s="185">
        <f t="shared" si="5"/>
        <v>11783.199257935328</v>
      </c>
      <c r="F36" s="185">
        <f t="shared" si="5"/>
        <v>12192.601755893806</v>
      </c>
      <c r="G36" s="185">
        <f t="shared" si="5"/>
        <v>11831.473071815077</v>
      </c>
      <c r="H36" s="185">
        <f t="shared" si="5"/>
        <v>9844.6606585015343</v>
      </c>
      <c r="I36" s="185">
        <f t="shared" si="5"/>
        <v>10659.041111566967</v>
      </c>
      <c r="J36" s="185">
        <f t="shared" si="5"/>
        <v>11456.682051954504</v>
      </c>
      <c r="K36" s="185">
        <f t="shared" si="5"/>
        <v>14709.595056791031</v>
      </c>
      <c r="L36" s="185">
        <f t="shared" si="5"/>
        <v>16781.050518877346</v>
      </c>
      <c r="M36" s="185">
        <f t="shared" si="5"/>
        <v>17602.015933536652</v>
      </c>
      <c r="N36" s="185">
        <f t="shared" si="5"/>
        <v>14744.055865484364</v>
      </c>
      <c r="O36" s="185">
        <f t="shared" ref="O36:O42" si="6">SUM(C36:N36)</f>
        <v>156524.54444902329</v>
      </c>
    </row>
    <row r="37" spans="1:15" x14ac:dyDescent="0.35">
      <c r="A37" s="164" t="s">
        <v>6</v>
      </c>
      <c r="B37" s="165" t="s">
        <v>218</v>
      </c>
      <c r="C37" s="165">
        <f>Startup!C23</f>
        <v>43200</v>
      </c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264">
        <f t="shared" si="6"/>
        <v>43200</v>
      </c>
    </row>
    <row r="38" spans="1:15" x14ac:dyDescent="0.35">
      <c r="A38" s="164"/>
      <c r="B38" s="165" t="s">
        <v>219</v>
      </c>
      <c r="C38" s="165">
        <v>0</v>
      </c>
      <c r="D38" s="165">
        <f>C51</f>
        <v>0</v>
      </c>
      <c r="E38" s="165">
        <f t="shared" ref="E38:N38" si="7">D51</f>
        <v>0</v>
      </c>
      <c r="F38" s="165">
        <f t="shared" si="7"/>
        <v>0</v>
      </c>
      <c r="G38" s="165">
        <f t="shared" si="7"/>
        <v>0</v>
      </c>
      <c r="H38" s="165">
        <f t="shared" si="7"/>
        <v>0</v>
      </c>
      <c r="I38" s="165">
        <f t="shared" si="7"/>
        <v>4794.3753846710715</v>
      </c>
      <c r="J38" s="165">
        <f t="shared" si="7"/>
        <v>13516.67127122101</v>
      </c>
      <c r="K38" s="165">
        <f t="shared" si="7"/>
        <v>21054.84623708552</v>
      </c>
      <c r="L38" s="165">
        <f t="shared" si="7"/>
        <v>30209.938718368794</v>
      </c>
      <c r="M38" s="165">
        <f t="shared" si="7"/>
        <v>27246.507591726491</v>
      </c>
      <c r="N38" s="165">
        <f t="shared" si="7"/>
        <v>3136.4542770273838</v>
      </c>
      <c r="O38" s="264">
        <f t="shared" si="6"/>
        <v>99958.79348010027</v>
      </c>
    </row>
    <row r="39" spans="1:15" x14ac:dyDescent="0.35">
      <c r="A39" s="164" t="s">
        <v>8</v>
      </c>
      <c r="B39" s="165" t="s">
        <v>220</v>
      </c>
      <c r="C39" s="165">
        <f>Financing!B26</f>
        <v>0</v>
      </c>
      <c r="D39" s="165">
        <f>Financing!C26</f>
        <v>1896.6829936008842</v>
      </c>
      <c r="E39" s="165">
        <f>Financing!D26</f>
        <v>1902.2149856655537</v>
      </c>
      <c r="F39" s="165">
        <f>Financing!E26</f>
        <v>1907.7631127070781</v>
      </c>
      <c r="G39" s="165">
        <f>Financing!F26</f>
        <v>1913.327421785807</v>
      </c>
      <c r="H39" s="165">
        <f>Financing!G26</f>
        <v>1918.9079600993489</v>
      </c>
      <c r="I39" s="165">
        <f>Financing!H26</f>
        <v>1924.5047749829719</v>
      </c>
      <c r="J39" s="165">
        <f>Financing!I26</f>
        <v>1930.1179139100057</v>
      </c>
      <c r="K39" s="165">
        <f>Financing!J26</f>
        <v>1935.747424492243</v>
      </c>
      <c r="L39" s="165">
        <f>Financing!K26</f>
        <v>1941.3933544803456</v>
      </c>
      <c r="M39" s="165">
        <f>Financing!L26</f>
        <v>1947.0557517642462</v>
      </c>
      <c r="N39" s="165">
        <f>Financing!M26</f>
        <v>1952.7346643735589</v>
      </c>
      <c r="O39" s="264">
        <f t="shared" si="6"/>
        <v>21170.450357862039</v>
      </c>
    </row>
    <row r="40" spans="1:15" x14ac:dyDescent="0.35">
      <c r="A40" s="164" t="s">
        <v>191</v>
      </c>
      <c r="B40" s="165" t="s">
        <v>221</v>
      </c>
      <c r="C40" s="165">
        <f>'Sales+Inv+Cost'!D53</f>
        <v>11226.250000000002</v>
      </c>
      <c r="D40" s="165">
        <f>'Sales+Inv+Cost'!E53</f>
        <v>5703.75</v>
      </c>
      <c r="E40" s="165">
        <f>'Sales+Inv+Cost'!F53</f>
        <v>6093.75</v>
      </c>
      <c r="F40" s="165">
        <f>'Sales+Inv+Cost'!G53</f>
        <v>2096.2500000000005</v>
      </c>
      <c r="G40" s="165">
        <f>'Sales+Inv+Cost'!H53</f>
        <v>2340</v>
      </c>
      <c r="H40" s="165">
        <f>'Sales+Inv+Cost'!I53</f>
        <v>5923.125</v>
      </c>
      <c r="I40" s="165">
        <f>'Sales+Inv+Cost'!J53</f>
        <v>8433.75</v>
      </c>
      <c r="J40" s="165">
        <f>'Sales+Inv+Cost'!K53</f>
        <v>13528.125</v>
      </c>
      <c r="K40" s="165">
        <f>'Sales+Inv+Cost'!L53</f>
        <v>22377.5</v>
      </c>
      <c r="L40" s="165">
        <f>'Sales+Inv+Cost'!M53</f>
        <v>26446.875</v>
      </c>
      <c r="M40" s="165">
        <f>'Sales+Inv+Cost'!N53</f>
        <v>22205.625</v>
      </c>
      <c r="N40" s="165">
        <f>'Sales+Inv+Cost'!O53</f>
        <v>4182.7500000000009</v>
      </c>
      <c r="O40" s="264">
        <f t="shared" si="6"/>
        <v>130557.75</v>
      </c>
    </row>
    <row r="41" spans="1:15" x14ac:dyDescent="0.35">
      <c r="A41" s="360" t="s">
        <v>222</v>
      </c>
      <c r="B41" s="267" t="s">
        <v>101</v>
      </c>
      <c r="C41" s="268">
        <v>0</v>
      </c>
      <c r="D41" s="268">
        <v>0</v>
      </c>
      <c r="E41" s="268">
        <v>0</v>
      </c>
      <c r="F41" s="268">
        <v>0</v>
      </c>
      <c r="G41" s="267">
        <f>'HR Exp'!$E$4</f>
        <v>3500</v>
      </c>
      <c r="H41" s="267">
        <f>'HR Exp'!$E$4</f>
        <v>3500</v>
      </c>
      <c r="I41" s="267">
        <f>'HR Exp'!$E$4</f>
        <v>3500</v>
      </c>
      <c r="J41" s="267">
        <f>'HR Exp'!$E$4</f>
        <v>3500</v>
      </c>
      <c r="K41" s="267">
        <f>'HR Exp'!$E$4</f>
        <v>3500</v>
      </c>
      <c r="L41" s="267">
        <f>'HR Exp'!$E$4</f>
        <v>3500</v>
      </c>
      <c r="M41" s="267">
        <f>'HR Exp'!$E$4</f>
        <v>3500</v>
      </c>
      <c r="N41" s="267">
        <f>'HR Exp'!$E$4</f>
        <v>3500</v>
      </c>
      <c r="O41" s="174">
        <f t="shared" si="6"/>
        <v>28000</v>
      </c>
    </row>
    <row r="42" spans="1:15" ht="15" thickBot="1" x14ac:dyDescent="0.4">
      <c r="A42" s="164"/>
      <c r="B42" s="269" t="s">
        <v>223</v>
      </c>
      <c r="C42" s="270">
        <f t="shared" ref="C42:N42" si="8">SUM(C37:C41)</f>
        <v>54426.25</v>
      </c>
      <c r="D42" s="270">
        <f t="shared" si="8"/>
        <v>7600.4329936008844</v>
      </c>
      <c r="E42" s="270">
        <f t="shared" si="8"/>
        <v>7995.9649856655542</v>
      </c>
      <c r="F42" s="270">
        <f t="shared" si="8"/>
        <v>4004.0131127070786</v>
      </c>
      <c r="G42" s="270">
        <f t="shared" si="8"/>
        <v>7753.327421785807</v>
      </c>
      <c r="H42" s="270">
        <f t="shared" si="8"/>
        <v>11342.03296009935</v>
      </c>
      <c r="I42" s="270">
        <f t="shared" si="8"/>
        <v>18652.630159654043</v>
      </c>
      <c r="J42" s="270">
        <f t="shared" si="8"/>
        <v>32474.914185131016</v>
      </c>
      <c r="K42" s="270">
        <f t="shared" si="8"/>
        <v>48868.093661577761</v>
      </c>
      <c r="L42" s="270">
        <f t="shared" si="8"/>
        <v>62098.207072849138</v>
      </c>
      <c r="M42" s="270">
        <f t="shared" si="8"/>
        <v>54899.188343490736</v>
      </c>
      <c r="N42" s="270">
        <f t="shared" si="8"/>
        <v>12771.938941400944</v>
      </c>
      <c r="O42" s="270">
        <f t="shared" si="6"/>
        <v>322886.99383796239</v>
      </c>
    </row>
    <row r="43" spans="1:15" ht="15" thickBot="1" x14ac:dyDescent="0.4">
      <c r="A43" s="164"/>
      <c r="B43" s="265" t="s">
        <v>224</v>
      </c>
      <c r="C43" s="213">
        <f t="shared" ref="C43:K43" si="9">C36+C42</f>
        <v>72531.511666666658</v>
      </c>
      <c r="D43" s="213">
        <f t="shared" si="9"/>
        <v>14415.340493600885</v>
      </c>
      <c r="E43" s="213">
        <f t="shared" si="9"/>
        <v>19779.164243600884</v>
      </c>
      <c r="F43" s="213">
        <f t="shared" si="9"/>
        <v>16196.614868600884</v>
      </c>
      <c r="G43" s="213">
        <f t="shared" si="9"/>
        <v>19584.800493600884</v>
      </c>
      <c r="H43" s="213">
        <f t="shared" si="9"/>
        <v>21186.693618600882</v>
      </c>
      <c r="I43" s="213">
        <f t="shared" si="9"/>
        <v>29311.67127122101</v>
      </c>
      <c r="J43" s="213">
        <f t="shared" si="9"/>
        <v>43931.59623708552</v>
      </c>
      <c r="K43" s="213">
        <f t="shared" si="9"/>
        <v>63577.688718368794</v>
      </c>
      <c r="L43" s="213">
        <f t="shared" ref="L43:O43" si="10">L36+L42</f>
        <v>78879.257591726491</v>
      </c>
      <c r="M43" s="213">
        <f t="shared" si="10"/>
        <v>72501.204277027384</v>
      </c>
      <c r="N43" s="213">
        <f t="shared" si="10"/>
        <v>27515.994806885308</v>
      </c>
      <c r="O43" s="266">
        <f t="shared" si="10"/>
        <v>479411.53828698571</v>
      </c>
    </row>
    <row r="44" spans="1:15" ht="15" thickTop="1" x14ac:dyDescent="0.3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</row>
    <row r="45" spans="1:15" x14ac:dyDescent="0.35">
      <c r="A45" s="57"/>
      <c r="B45" s="215" t="s">
        <v>410</v>
      </c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</row>
    <row r="46" spans="1:15" x14ac:dyDescent="0.35">
      <c r="A46" s="57"/>
      <c r="B46" s="160" t="s">
        <v>225</v>
      </c>
      <c r="C46" s="160">
        <v>0</v>
      </c>
      <c r="D46" s="163">
        <f>C52</f>
        <v>23638.488333333342</v>
      </c>
      <c r="E46" s="163">
        <f t="shared" ref="E46:N46" si="11">D52</f>
        <v>28229.147839732457</v>
      </c>
      <c r="F46" s="163">
        <f t="shared" si="11"/>
        <v>24433.483596131577</v>
      </c>
      <c r="G46" s="163">
        <f t="shared" si="11"/>
        <v>24873.618727530695</v>
      </c>
      <c r="H46" s="163">
        <f t="shared" si="11"/>
        <v>11265.568233929811</v>
      </c>
      <c r="I46" s="163">
        <f t="shared" si="11"/>
        <v>1500</v>
      </c>
      <c r="J46" s="163">
        <f t="shared" si="11"/>
        <v>1500</v>
      </c>
      <c r="K46" s="163">
        <f t="shared" si="11"/>
        <v>1500</v>
      </c>
      <c r="L46" s="163">
        <f t="shared" si="11"/>
        <v>1500</v>
      </c>
      <c r="M46" s="163">
        <f t="shared" si="11"/>
        <v>1500</v>
      </c>
      <c r="N46" s="163">
        <f t="shared" si="11"/>
        <v>1500</v>
      </c>
      <c r="O46" s="186">
        <f t="shared" ref="O46:O52" si="12">SUM(C46:N46)</f>
        <v>121440.30673065787</v>
      </c>
    </row>
    <row r="47" spans="1:15" x14ac:dyDescent="0.35">
      <c r="A47" s="57"/>
      <c r="B47" s="160" t="s">
        <v>226</v>
      </c>
      <c r="C47" s="163">
        <f>C19</f>
        <v>96170</v>
      </c>
      <c r="D47" s="163">
        <f t="shared" ref="D47:N47" si="13">D19</f>
        <v>19006.000000000004</v>
      </c>
      <c r="E47" s="163">
        <f t="shared" si="13"/>
        <v>15983.500000000002</v>
      </c>
      <c r="F47" s="163">
        <f t="shared" si="13"/>
        <v>16636.75</v>
      </c>
      <c r="G47" s="163">
        <f t="shared" si="13"/>
        <v>5976.7500000000009</v>
      </c>
      <c r="H47" s="163">
        <f t="shared" si="13"/>
        <v>6626.7500000000009</v>
      </c>
      <c r="I47" s="163">
        <f t="shared" si="13"/>
        <v>15795</v>
      </c>
      <c r="J47" s="163">
        <f t="shared" si="13"/>
        <v>22876.75</v>
      </c>
      <c r="K47" s="163">
        <f t="shared" si="13"/>
        <v>33367.75</v>
      </c>
      <c r="L47" s="163">
        <f t="shared" si="13"/>
        <v>51632.75</v>
      </c>
      <c r="M47" s="163">
        <f t="shared" si="13"/>
        <v>69364.75</v>
      </c>
      <c r="N47" s="163">
        <f t="shared" si="13"/>
        <v>56894.5</v>
      </c>
      <c r="O47" s="186">
        <f t="shared" si="12"/>
        <v>410331.25</v>
      </c>
    </row>
    <row r="48" spans="1:15" x14ac:dyDescent="0.35">
      <c r="A48" s="57"/>
      <c r="B48" s="160" t="s">
        <v>281</v>
      </c>
      <c r="C48" s="163">
        <f>C43</f>
        <v>72531.511666666658</v>
      </c>
      <c r="D48" s="163">
        <f t="shared" ref="D48:N48" si="14">D43</f>
        <v>14415.340493600885</v>
      </c>
      <c r="E48" s="163">
        <f t="shared" si="14"/>
        <v>19779.164243600884</v>
      </c>
      <c r="F48" s="163">
        <f t="shared" si="14"/>
        <v>16196.614868600884</v>
      </c>
      <c r="G48" s="163">
        <f t="shared" si="14"/>
        <v>19584.800493600884</v>
      </c>
      <c r="H48" s="163">
        <f t="shared" si="14"/>
        <v>21186.693618600882</v>
      </c>
      <c r="I48" s="163">
        <f t="shared" si="14"/>
        <v>29311.67127122101</v>
      </c>
      <c r="J48" s="163">
        <f t="shared" si="14"/>
        <v>43931.59623708552</v>
      </c>
      <c r="K48" s="163">
        <f t="shared" si="14"/>
        <v>63577.688718368794</v>
      </c>
      <c r="L48" s="163">
        <f t="shared" si="14"/>
        <v>78879.257591726491</v>
      </c>
      <c r="M48" s="163">
        <f t="shared" si="14"/>
        <v>72501.204277027384</v>
      </c>
      <c r="N48" s="163">
        <f t="shared" si="14"/>
        <v>27515.994806885308</v>
      </c>
      <c r="O48" s="186">
        <f t="shared" si="12"/>
        <v>479411.53828698565</v>
      </c>
    </row>
    <row r="49" spans="1:15" x14ac:dyDescent="0.35">
      <c r="A49" s="57"/>
      <c r="B49" s="160" t="s">
        <v>227</v>
      </c>
      <c r="C49" s="163">
        <f>C46+C47-C48</f>
        <v>23638.488333333342</v>
      </c>
      <c r="D49" s="163">
        <f t="shared" ref="D49:N49" si="15">D46+D47-D48</f>
        <v>28229.147839732457</v>
      </c>
      <c r="E49" s="163">
        <f t="shared" si="15"/>
        <v>24433.483596131577</v>
      </c>
      <c r="F49" s="163">
        <f t="shared" si="15"/>
        <v>24873.618727530695</v>
      </c>
      <c r="G49" s="163">
        <f t="shared" si="15"/>
        <v>11265.568233929811</v>
      </c>
      <c r="H49" s="163">
        <f t="shared" si="15"/>
        <v>-3294.3753846710715</v>
      </c>
      <c r="I49" s="163">
        <f t="shared" si="15"/>
        <v>-12016.67127122101</v>
      </c>
      <c r="J49" s="163">
        <f t="shared" si="15"/>
        <v>-19554.84623708552</v>
      </c>
      <c r="K49" s="163">
        <f t="shared" si="15"/>
        <v>-28709.938718368794</v>
      </c>
      <c r="L49" s="163">
        <f t="shared" si="15"/>
        <v>-25746.507591726491</v>
      </c>
      <c r="M49" s="163">
        <f t="shared" si="15"/>
        <v>-1636.4542770273838</v>
      </c>
      <c r="N49" s="163">
        <f t="shared" si="15"/>
        <v>30878.505193114692</v>
      </c>
      <c r="O49" s="186">
        <f t="shared" si="12"/>
        <v>52360.018443672292</v>
      </c>
    </row>
    <row r="50" spans="1:15" x14ac:dyDescent="0.35">
      <c r="A50" s="57"/>
      <c r="B50" s="176" t="s">
        <v>228</v>
      </c>
      <c r="C50" s="177">
        <f>Financing!$B$10</f>
        <v>1500</v>
      </c>
      <c r="D50" s="177">
        <f>Financing!$B$10</f>
        <v>1500</v>
      </c>
      <c r="E50" s="177">
        <f>Financing!$B$10</f>
        <v>1500</v>
      </c>
      <c r="F50" s="177">
        <f>Financing!$B$10</f>
        <v>1500</v>
      </c>
      <c r="G50" s="177">
        <f>Financing!$B$10</f>
        <v>1500</v>
      </c>
      <c r="H50" s="177">
        <f>Financing!$B$10</f>
        <v>1500</v>
      </c>
      <c r="I50" s="177">
        <f>Financing!$B$10</f>
        <v>1500</v>
      </c>
      <c r="J50" s="177">
        <f>Financing!$B$10</f>
        <v>1500</v>
      </c>
      <c r="K50" s="177">
        <f>Financing!$B$10</f>
        <v>1500</v>
      </c>
      <c r="L50" s="177">
        <f>Financing!$B$10</f>
        <v>1500</v>
      </c>
      <c r="M50" s="177">
        <f>Financing!$B$10</f>
        <v>1500</v>
      </c>
      <c r="N50" s="177">
        <f>Financing!$B$10</f>
        <v>1500</v>
      </c>
      <c r="O50" s="187">
        <f t="shared" si="12"/>
        <v>18000</v>
      </c>
    </row>
    <row r="51" spans="1:15" x14ac:dyDescent="0.35">
      <c r="A51" s="57"/>
      <c r="B51" s="160" t="s">
        <v>229</v>
      </c>
      <c r="C51" s="163">
        <f>IF(C49&lt;C50,C50-C49,0)</f>
        <v>0</v>
      </c>
      <c r="D51" s="163">
        <f t="shared" ref="D51:N51" si="16">IF(D49&lt;D50,D50-D49,0)</f>
        <v>0</v>
      </c>
      <c r="E51" s="163">
        <f t="shared" si="16"/>
        <v>0</v>
      </c>
      <c r="F51" s="163">
        <f t="shared" si="16"/>
        <v>0</v>
      </c>
      <c r="G51" s="163">
        <f t="shared" si="16"/>
        <v>0</v>
      </c>
      <c r="H51" s="163">
        <f t="shared" si="16"/>
        <v>4794.3753846710715</v>
      </c>
      <c r="I51" s="163">
        <f t="shared" si="16"/>
        <v>13516.67127122101</v>
      </c>
      <c r="J51" s="163">
        <f t="shared" si="16"/>
        <v>21054.84623708552</v>
      </c>
      <c r="K51" s="163">
        <f t="shared" si="16"/>
        <v>30209.938718368794</v>
      </c>
      <c r="L51" s="163">
        <f t="shared" si="16"/>
        <v>27246.507591726491</v>
      </c>
      <c r="M51" s="163">
        <f t="shared" si="16"/>
        <v>3136.4542770273838</v>
      </c>
      <c r="N51" s="163">
        <f t="shared" si="16"/>
        <v>0</v>
      </c>
      <c r="O51" s="186">
        <f t="shared" si="12"/>
        <v>99958.79348010027</v>
      </c>
    </row>
    <row r="52" spans="1:15" x14ac:dyDescent="0.35">
      <c r="A52" s="57"/>
      <c r="B52" s="160" t="s">
        <v>230</v>
      </c>
      <c r="C52" s="163">
        <f>C51-(-C49)</f>
        <v>23638.488333333342</v>
      </c>
      <c r="D52" s="163">
        <f t="shared" ref="D52:N52" si="17">D51-(-D49)</f>
        <v>28229.147839732457</v>
      </c>
      <c r="E52" s="163">
        <f t="shared" si="17"/>
        <v>24433.483596131577</v>
      </c>
      <c r="F52" s="163">
        <f t="shared" si="17"/>
        <v>24873.618727530695</v>
      </c>
      <c r="G52" s="163">
        <f t="shared" si="17"/>
        <v>11265.568233929811</v>
      </c>
      <c r="H52" s="163">
        <f t="shared" si="17"/>
        <v>1500</v>
      </c>
      <c r="I52" s="163">
        <f t="shared" si="17"/>
        <v>1500</v>
      </c>
      <c r="J52" s="163">
        <f t="shared" si="17"/>
        <v>1500</v>
      </c>
      <c r="K52" s="163">
        <f t="shared" si="17"/>
        <v>1500</v>
      </c>
      <c r="L52" s="163">
        <f t="shared" si="17"/>
        <v>1500</v>
      </c>
      <c r="M52" s="163">
        <f t="shared" si="17"/>
        <v>1500</v>
      </c>
      <c r="N52" s="163">
        <f t="shared" si="17"/>
        <v>30878.505193114692</v>
      </c>
      <c r="O52" s="186">
        <f t="shared" si="12"/>
        <v>152318.81192377256</v>
      </c>
    </row>
    <row r="55" spans="1:15" x14ac:dyDescent="0.35">
      <c r="C55" s="271"/>
    </row>
  </sheetData>
  <mergeCells count="3">
    <mergeCell ref="B2:G2"/>
    <mergeCell ref="B3:G3"/>
    <mergeCell ref="B1:G1"/>
  </mergeCells>
  <conditionalFormatting sqref="C49:O49">
    <cfRule type="cellIs" dxfId="0" priority="1" operator="lessThan">
      <formula>0</formula>
    </cfRule>
  </conditionalFormatting>
  <pageMargins left="0.38" right="0.25" top="0.75" bottom="0.75" header="0.3" footer="0.3"/>
  <pageSetup scale="63" orientation="landscape" r:id="rId1"/>
  <headerFooter>
    <oddFooter>&amp;LPrepared by: Miraj Sangani&amp;CCash Flow Statement 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0A630-6821-41CD-BABB-1A3BDAFBD1E8}">
  <sheetPr>
    <tabColor rgb="FF92D050"/>
    <pageSetUpPr fitToPage="1"/>
  </sheetPr>
  <dimension ref="A1:J43"/>
  <sheetViews>
    <sheetView zoomScaleNormal="100" zoomScalePageLayoutView="55" workbookViewId="0"/>
  </sheetViews>
  <sheetFormatPr defaultRowHeight="14.5" x14ac:dyDescent="0.35"/>
  <cols>
    <col min="1" max="1" width="12.6328125" customWidth="1"/>
    <col min="2" max="2" width="40.54296875" bestFit="1" customWidth="1"/>
    <col min="3" max="3" width="12.26953125" bestFit="1" customWidth="1"/>
    <col min="5" max="5" width="12.36328125" customWidth="1"/>
    <col min="6" max="6" width="12.08984375" customWidth="1"/>
    <col min="7" max="7" width="39.36328125" bestFit="1" customWidth="1"/>
  </cols>
  <sheetData>
    <row r="1" spans="1:8" ht="15" thickBot="1" x14ac:dyDescent="0.4">
      <c r="B1" s="296" t="s">
        <v>414</v>
      </c>
      <c r="C1" s="297"/>
      <c r="D1" s="297"/>
      <c r="E1" s="297"/>
      <c r="F1" s="298"/>
    </row>
    <row r="2" spans="1:8" x14ac:dyDescent="0.35">
      <c r="B2" s="299" t="s">
        <v>415</v>
      </c>
      <c r="C2" s="300"/>
      <c r="D2" s="300"/>
      <c r="E2" s="300"/>
      <c r="F2" s="301"/>
    </row>
    <row r="3" spans="1:8" ht="15" thickBot="1" x14ac:dyDescent="0.4">
      <c r="A3" s="57"/>
      <c r="B3" s="293" t="s">
        <v>188</v>
      </c>
      <c r="C3" s="294"/>
      <c r="D3" s="294"/>
      <c r="E3" s="294"/>
      <c r="F3" s="295"/>
    </row>
    <row r="4" spans="1:8" x14ac:dyDescent="0.35">
      <c r="H4" s="57"/>
    </row>
    <row r="5" spans="1:8" ht="70" x14ac:dyDescent="0.35">
      <c r="A5" s="276" t="s">
        <v>189</v>
      </c>
      <c r="B5" s="160"/>
      <c r="C5" s="214" t="s">
        <v>231</v>
      </c>
      <c r="D5" s="160"/>
      <c r="E5" s="214" t="s">
        <v>232</v>
      </c>
      <c r="F5" s="214" t="s">
        <v>233</v>
      </c>
      <c r="G5" s="281" t="s">
        <v>234</v>
      </c>
      <c r="H5" s="57"/>
    </row>
    <row r="6" spans="1:8" x14ac:dyDescent="0.35">
      <c r="A6" s="57" t="s">
        <v>191</v>
      </c>
      <c r="B6" s="188" t="s">
        <v>235</v>
      </c>
      <c r="C6" s="160"/>
      <c r="D6" s="160"/>
      <c r="E6" s="244"/>
      <c r="F6" s="244"/>
      <c r="G6" s="239"/>
      <c r="H6" s="57"/>
    </row>
    <row r="7" spans="1:8" x14ac:dyDescent="0.35">
      <c r="A7" s="57"/>
      <c r="B7" s="160" t="s">
        <v>236</v>
      </c>
      <c r="C7" s="163">
        <f>SUM('Sales+Inv+Cost'!B18:M18)</f>
        <v>58500</v>
      </c>
      <c r="D7" s="163"/>
      <c r="E7" s="244">
        <f>C7/$C$10</f>
        <v>0.18</v>
      </c>
      <c r="F7" s="244"/>
      <c r="G7" s="239"/>
      <c r="H7" s="57"/>
    </row>
    <row r="8" spans="1:8" x14ac:dyDescent="0.35">
      <c r="A8" s="57"/>
      <c r="B8" s="160" t="s">
        <v>237</v>
      </c>
      <c r="C8" s="163">
        <f>SUM('Sales+Inv+Cost'!B25:M25)</f>
        <v>156000</v>
      </c>
      <c r="D8" s="163"/>
      <c r="E8" s="244">
        <f>C8/$C$10</f>
        <v>0.48</v>
      </c>
      <c r="F8" s="244"/>
      <c r="G8" s="239"/>
      <c r="H8" s="57"/>
    </row>
    <row r="9" spans="1:8" ht="15" thickBot="1" x14ac:dyDescent="0.4">
      <c r="A9" s="57"/>
      <c r="B9" s="197" t="s">
        <v>238</v>
      </c>
      <c r="C9" s="194">
        <f>SUM('Sales+Inv+Cost'!B32:M32)</f>
        <v>110500.00000000001</v>
      </c>
      <c r="D9" s="194"/>
      <c r="E9" s="245">
        <f>C9/$C$10</f>
        <v>0.34</v>
      </c>
      <c r="F9" s="245"/>
      <c r="G9" s="274"/>
      <c r="H9" s="57"/>
    </row>
    <row r="10" spans="1:8" ht="15" thickBot="1" x14ac:dyDescent="0.4">
      <c r="A10" s="57"/>
      <c r="B10" s="198" t="s">
        <v>200</v>
      </c>
      <c r="C10" s="199">
        <f>SUM(C7:C9)</f>
        <v>325000</v>
      </c>
      <c r="D10" s="199"/>
      <c r="E10" s="275">
        <f>C10/$C$10</f>
        <v>1</v>
      </c>
      <c r="F10" s="275">
        <f>'NAICS%'!E11%</f>
        <v>1</v>
      </c>
      <c r="G10" s="282" t="s">
        <v>407</v>
      </c>
      <c r="H10" s="57"/>
    </row>
    <row r="11" spans="1:8" x14ac:dyDescent="0.35">
      <c r="A11" s="57"/>
      <c r="B11" s="190"/>
      <c r="C11" s="190"/>
      <c r="D11" s="190"/>
      <c r="E11" s="246"/>
      <c r="F11" s="246"/>
      <c r="G11" s="283"/>
      <c r="H11" s="57"/>
    </row>
    <row r="12" spans="1:8" x14ac:dyDescent="0.35">
      <c r="A12" s="57"/>
      <c r="B12" s="188" t="s">
        <v>239</v>
      </c>
      <c r="C12" s="163"/>
      <c r="D12" s="163"/>
      <c r="E12" s="244"/>
      <c r="F12" s="244"/>
      <c r="G12" s="284"/>
      <c r="H12" s="57"/>
    </row>
    <row r="13" spans="1:8" x14ac:dyDescent="0.35">
      <c r="A13" s="57" t="s">
        <v>206</v>
      </c>
      <c r="B13" s="160" t="s">
        <v>240</v>
      </c>
      <c r="C13" s="163">
        <f>'HR Exp'!Q24</f>
        <v>66095.710000000006</v>
      </c>
      <c r="D13" s="163"/>
      <c r="E13" s="244">
        <f>C13/$C$10</f>
        <v>0.20337141538461539</v>
      </c>
      <c r="F13" s="244">
        <f>'NAICS%'!E15%</f>
        <v>7.9000000953674321E-2</v>
      </c>
      <c r="G13" s="284" t="s">
        <v>408</v>
      </c>
      <c r="H13" s="57"/>
    </row>
    <row r="14" spans="1:8" x14ac:dyDescent="0.35">
      <c r="A14" s="57" t="s">
        <v>191</v>
      </c>
      <c r="B14" s="160" t="s">
        <v>241</v>
      </c>
      <c r="C14" s="163">
        <f>C10*'Sales+Inv+Cost'!B45</f>
        <v>121875</v>
      </c>
      <c r="D14" s="163"/>
      <c r="E14" s="244">
        <f>C14/$C$10</f>
        <v>0.375</v>
      </c>
      <c r="F14" s="244">
        <f>'NAICS%'!E16%</f>
        <v>0.34299999237060547</v>
      </c>
      <c r="G14" s="284" t="s">
        <v>409</v>
      </c>
      <c r="H14" s="57"/>
    </row>
    <row r="15" spans="1:8" ht="15" thickBot="1" x14ac:dyDescent="0.4">
      <c r="A15" s="57"/>
      <c r="B15" s="197"/>
      <c r="C15" s="194"/>
      <c r="D15" s="194"/>
      <c r="E15" s="245"/>
      <c r="F15" s="245"/>
      <c r="G15" s="285"/>
      <c r="H15" s="57"/>
    </row>
    <row r="16" spans="1:8" ht="15" thickBot="1" x14ac:dyDescent="0.4">
      <c r="A16" s="57"/>
      <c r="B16" s="198" t="s">
        <v>242</v>
      </c>
      <c r="C16" s="199">
        <f>SUM(C13:C14)</f>
        <v>187970.71000000002</v>
      </c>
      <c r="D16" s="199"/>
      <c r="E16" s="275">
        <f>C16/$C$10</f>
        <v>0.57837141538461545</v>
      </c>
      <c r="F16" s="275">
        <f>'NAICS%'!E14%</f>
        <v>0.41499999999999998</v>
      </c>
      <c r="G16" s="286" t="s">
        <v>317</v>
      </c>
      <c r="H16" s="57"/>
    </row>
    <row r="17" spans="1:10" ht="15" thickBot="1" x14ac:dyDescent="0.4">
      <c r="A17" s="57"/>
      <c r="B17" s="201"/>
      <c r="C17" s="216"/>
      <c r="D17" s="216"/>
      <c r="E17" s="247"/>
      <c r="F17" s="247"/>
      <c r="G17" s="287"/>
      <c r="H17" s="57"/>
    </row>
    <row r="18" spans="1:10" ht="15" thickBot="1" x14ac:dyDescent="0.4">
      <c r="A18" s="57"/>
      <c r="B18" s="198" t="s">
        <v>243</v>
      </c>
      <c r="C18" s="199">
        <f>C10-C16</f>
        <v>137029.28999999998</v>
      </c>
      <c r="D18" s="199"/>
      <c r="E18" s="275">
        <f>C18/$C$10</f>
        <v>0.42162858461538455</v>
      </c>
      <c r="F18" s="275"/>
      <c r="G18" s="288"/>
      <c r="H18" s="57"/>
    </row>
    <row r="19" spans="1:10" ht="15" thickBot="1" x14ac:dyDescent="0.4">
      <c r="A19" s="57"/>
      <c r="B19" s="201"/>
      <c r="C19" s="201"/>
      <c r="D19" s="201"/>
      <c r="E19" s="247"/>
      <c r="F19" s="246"/>
      <c r="G19" s="283"/>
      <c r="H19" s="57"/>
    </row>
    <row r="20" spans="1:10" ht="15" thickBot="1" x14ac:dyDescent="0.4">
      <c r="A20" s="57"/>
      <c r="B20" s="202" t="s">
        <v>244</v>
      </c>
      <c r="C20" s="200"/>
      <c r="D20" s="160"/>
      <c r="E20" s="244"/>
      <c r="F20" s="248"/>
      <c r="G20" s="284"/>
      <c r="H20" s="57"/>
    </row>
    <row r="21" spans="1:10" x14ac:dyDescent="0.35">
      <c r="A21" s="57" t="s">
        <v>6</v>
      </c>
      <c r="B21" s="190" t="s">
        <v>245</v>
      </c>
      <c r="C21" s="192">
        <f>Assets!E8</f>
        <v>8691.1111111111113</v>
      </c>
      <c r="D21" s="192"/>
      <c r="E21" s="246">
        <f>C21/$C$10</f>
        <v>2.6741880341880343E-2</v>
      </c>
      <c r="F21" s="244">
        <f>'NAICS%'!E21%</f>
        <v>4.5999999046325686E-2</v>
      </c>
      <c r="G21" s="284" t="s">
        <v>330</v>
      </c>
      <c r="H21" s="57"/>
    </row>
    <row r="22" spans="1:10" x14ac:dyDescent="0.35">
      <c r="A22" s="57" t="s">
        <v>32</v>
      </c>
      <c r="B22" s="160" t="s">
        <v>246</v>
      </c>
      <c r="C22" s="163">
        <f>CFF!O22</f>
        <v>11910</v>
      </c>
      <c r="D22" s="163"/>
      <c r="E22" s="244"/>
      <c r="F22" s="244"/>
      <c r="G22" s="284"/>
      <c r="H22" s="57"/>
      <c r="J22" s="250"/>
    </row>
    <row r="23" spans="1:10" x14ac:dyDescent="0.35">
      <c r="A23" s="57" t="s">
        <v>32</v>
      </c>
      <c r="B23" s="160" t="s">
        <v>247</v>
      </c>
      <c r="C23" s="163">
        <f>CFF!O24</f>
        <v>3900</v>
      </c>
      <c r="D23" s="163"/>
      <c r="E23" s="244">
        <f>C23/$C$10</f>
        <v>1.2E-2</v>
      </c>
      <c r="F23" s="244">
        <f>'NAICS%'!E22%</f>
        <v>1.600000023841858E-2</v>
      </c>
      <c r="G23" s="284" t="s">
        <v>332</v>
      </c>
      <c r="H23" s="57"/>
    </row>
    <row r="24" spans="1:10" x14ac:dyDescent="0.35">
      <c r="A24" s="57" t="s">
        <v>32</v>
      </c>
      <c r="B24" s="160" t="s">
        <v>248</v>
      </c>
      <c r="C24" s="163">
        <f>CFF!O25</f>
        <v>4200</v>
      </c>
      <c r="D24" s="163"/>
      <c r="E24" s="244">
        <f>C24/$C$10</f>
        <v>1.2923076923076923E-2</v>
      </c>
      <c r="F24" s="244">
        <f>'NAICS%'!E23%</f>
        <v>1.899999976158142E-2</v>
      </c>
      <c r="G24" s="284" t="s">
        <v>334</v>
      </c>
      <c r="H24" s="57"/>
    </row>
    <row r="25" spans="1:10" x14ac:dyDescent="0.35">
      <c r="A25" s="57" t="s">
        <v>32</v>
      </c>
      <c r="B25" s="197" t="s">
        <v>249</v>
      </c>
      <c r="C25" s="163">
        <f>CFF!O26</f>
        <v>10306.25</v>
      </c>
      <c r="D25" s="163"/>
      <c r="E25" s="244">
        <f>C25/$C$10</f>
        <v>3.1711538461538465E-2</v>
      </c>
      <c r="F25" s="244">
        <f>'NAICS%'!E24%</f>
        <v>7.5999999046325678E-2</v>
      </c>
      <c r="G25" s="284" t="s">
        <v>249</v>
      </c>
      <c r="H25" s="57"/>
    </row>
    <row r="26" spans="1:10" x14ac:dyDescent="0.35">
      <c r="A26" s="57"/>
      <c r="B26" s="160" t="s">
        <v>250</v>
      </c>
      <c r="C26" s="243">
        <f>SUM(D27:D30)</f>
        <v>9367.5844490232885</v>
      </c>
      <c r="D26" s="160"/>
      <c r="E26" s="244">
        <f>C26/$C$10</f>
        <v>2.8823336766225505E-2</v>
      </c>
      <c r="F26" s="249">
        <f>'NAICS%'!E25%</f>
        <v>2.5000000000000001E-2</v>
      </c>
      <c r="G26" s="284" t="s">
        <v>337</v>
      </c>
      <c r="H26" s="57"/>
    </row>
    <row r="27" spans="1:10" x14ac:dyDescent="0.35">
      <c r="A27" s="57" t="s">
        <v>32</v>
      </c>
      <c r="B27" s="190" t="s">
        <v>214</v>
      </c>
      <c r="C27" s="1"/>
      <c r="D27" s="163">
        <f>CFF!O32</f>
        <v>480</v>
      </c>
      <c r="E27" s="244"/>
      <c r="F27" s="1"/>
      <c r="G27" s="181"/>
      <c r="H27" s="57"/>
    </row>
    <row r="28" spans="1:10" x14ac:dyDescent="0.35">
      <c r="A28" s="57" t="s">
        <v>32</v>
      </c>
      <c r="B28" s="160" t="s">
        <v>137</v>
      </c>
      <c r="C28" s="1"/>
      <c r="D28" s="163">
        <f>CFF!O33</f>
        <v>7467.6875</v>
      </c>
      <c r="E28" s="244"/>
      <c r="F28" s="244"/>
      <c r="G28" s="284"/>
      <c r="H28" s="57"/>
    </row>
    <row r="29" spans="1:10" x14ac:dyDescent="0.35">
      <c r="A29" s="57" t="s">
        <v>32</v>
      </c>
      <c r="B29" s="160" t="s">
        <v>251</v>
      </c>
      <c r="C29" s="1"/>
      <c r="D29" s="163">
        <f>CFF!O34</f>
        <v>815.97923841434954</v>
      </c>
      <c r="E29" s="244"/>
      <c r="F29" s="244"/>
      <c r="G29" s="284"/>
      <c r="H29" s="57"/>
    </row>
    <row r="30" spans="1:10" x14ac:dyDescent="0.35">
      <c r="A30" s="57" t="s">
        <v>32</v>
      </c>
      <c r="B30" s="160" t="s">
        <v>252</v>
      </c>
      <c r="C30" s="1"/>
      <c r="D30" s="163">
        <f>CFF!O35</f>
        <v>603.91771060893916</v>
      </c>
      <c r="E30" s="244"/>
      <c r="F30" s="244"/>
      <c r="G30" s="284"/>
      <c r="H30" s="57"/>
    </row>
    <row r="31" spans="1:10" x14ac:dyDescent="0.35">
      <c r="A31" s="57" t="s">
        <v>32</v>
      </c>
      <c r="B31" s="160" t="s">
        <v>85</v>
      </c>
      <c r="C31" s="163">
        <f>CFF!O27</f>
        <v>7600</v>
      </c>
      <c r="D31" s="163"/>
      <c r="E31" s="244">
        <f>C31/$C$10</f>
        <v>2.3384615384615386E-2</v>
      </c>
      <c r="F31" s="244">
        <f>'NAICS%'!E26%</f>
        <v>2.5999999046325682E-2</v>
      </c>
      <c r="G31" s="284" t="s">
        <v>339</v>
      </c>
      <c r="H31" s="57"/>
    </row>
    <row r="32" spans="1:10" x14ac:dyDescent="0.35">
      <c r="A32" s="57" t="s">
        <v>32</v>
      </c>
      <c r="B32" s="160" t="s">
        <v>253</v>
      </c>
      <c r="C32" s="163">
        <f>CFF!O28</f>
        <v>2825</v>
      </c>
      <c r="D32" s="163"/>
      <c r="E32" s="244">
        <f>C32/$C$10</f>
        <v>8.6923076923076919E-3</v>
      </c>
      <c r="F32" s="244">
        <f>'NAICS%'!E27%</f>
        <v>2.2000000476837159E-2</v>
      </c>
      <c r="G32" s="284" t="s">
        <v>341</v>
      </c>
      <c r="H32" s="57"/>
    </row>
    <row r="33" spans="1:8" x14ac:dyDescent="0.35">
      <c r="A33" s="57" t="s">
        <v>32</v>
      </c>
      <c r="B33" s="160" t="s">
        <v>254</v>
      </c>
      <c r="C33" s="163">
        <f>CFF!O29</f>
        <v>4200</v>
      </c>
      <c r="D33" s="163"/>
      <c r="E33" s="244">
        <f>C33/$C$10</f>
        <v>1.2923076923076923E-2</v>
      </c>
      <c r="F33" s="244">
        <f>'NAICS%'!E28%</f>
        <v>8.0000001192092902E-3</v>
      </c>
      <c r="G33" s="284" t="s">
        <v>343</v>
      </c>
      <c r="H33" s="57"/>
    </row>
    <row r="34" spans="1:8" x14ac:dyDescent="0.35">
      <c r="A34" s="57" t="s">
        <v>32</v>
      </c>
      <c r="B34" s="160" t="s">
        <v>213</v>
      </c>
      <c r="C34" s="163">
        <f>CFF!O30</f>
        <v>1320</v>
      </c>
      <c r="D34" s="163"/>
      <c r="E34" s="244">
        <f>C34/$C$10</f>
        <v>4.0615384615384619E-3</v>
      </c>
      <c r="F34" s="244">
        <f>'NAICS%'!E29%</f>
        <v>1.1000000238418579E-2</v>
      </c>
      <c r="G34" s="284" t="s">
        <v>213</v>
      </c>
      <c r="H34" s="57"/>
    </row>
    <row r="35" spans="1:8" ht="15" thickBot="1" x14ac:dyDescent="0.4">
      <c r="A35" s="57" t="s">
        <v>32</v>
      </c>
      <c r="B35" s="197" t="s">
        <v>98</v>
      </c>
      <c r="C35" s="194">
        <f>CFF!O31</f>
        <v>34800</v>
      </c>
      <c r="D35" s="194"/>
      <c r="E35" s="245">
        <f>C35/$C$10</f>
        <v>0.10707692307692308</v>
      </c>
      <c r="F35" s="245">
        <f>'NAICS%'!E30%</f>
        <v>9.3000001907348639E-2</v>
      </c>
      <c r="G35" s="285" t="s">
        <v>98</v>
      </c>
      <c r="H35" s="57"/>
    </row>
    <row r="36" spans="1:8" ht="15" thickBot="1" x14ac:dyDescent="0.4">
      <c r="A36" s="57"/>
      <c r="B36" s="198" t="s">
        <v>255</v>
      </c>
      <c r="C36" s="199">
        <f>SUM(C20:C35)</f>
        <v>99119.945560134394</v>
      </c>
      <c r="D36" s="199"/>
      <c r="E36" s="275">
        <f>SUM(E21:E35)</f>
        <v>0.26833829403118276</v>
      </c>
      <c r="F36" s="275">
        <f>'NAICS%'!E31%</f>
        <v>0.995</v>
      </c>
      <c r="G36" s="282" t="s">
        <v>348</v>
      </c>
      <c r="H36" s="57"/>
    </row>
    <row r="37" spans="1:8" ht="15" thickBot="1" x14ac:dyDescent="0.4">
      <c r="A37" s="57"/>
      <c r="B37" s="201"/>
      <c r="C37" s="201"/>
      <c r="D37" s="201"/>
      <c r="E37" s="277"/>
      <c r="F37" s="277"/>
      <c r="G37" s="287"/>
      <c r="H37" s="57"/>
    </row>
    <row r="38" spans="1:8" ht="15" thickBot="1" x14ac:dyDescent="0.4">
      <c r="A38" s="57"/>
      <c r="B38" s="278" t="s">
        <v>256</v>
      </c>
      <c r="C38" s="279">
        <f>C18-C36</f>
        <v>37909.344439865585</v>
      </c>
      <c r="D38" s="279"/>
      <c r="E38" s="280">
        <f>C38/$C$10</f>
        <v>0.11664413673804795</v>
      </c>
      <c r="F38" s="280">
        <f>'NAICS%'!E32%</f>
        <v>5.0000000000000001E-3</v>
      </c>
      <c r="G38" s="289" t="s">
        <v>350</v>
      </c>
      <c r="H38" s="57"/>
    </row>
    <row r="39" spans="1:8" ht="15" thickTop="1" x14ac:dyDescent="0.35">
      <c r="H39" s="57"/>
    </row>
    <row r="40" spans="1:8" ht="15" thickBot="1" x14ac:dyDescent="0.4">
      <c r="A40" s="57"/>
      <c r="B40" s="57"/>
      <c r="C40" s="57"/>
      <c r="D40" s="57"/>
      <c r="E40" s="57"/>
      <c r="F40" s="57"/>
      <c r="G40" s="57"/>
      <c r="H40" s="57"/>
    </row>
    <row r="41" spans="1:8" x14ac:dyDescent="0.35">
      <c r="B41" s="211" t="s">
        <v>189</v>
      </c>
      <c r="C41" s="47"/>
      <c r="D41" s="47"/>
      <c r="E41" s="203"/>
      <c r="F41" s="204"/>
      <c r="G41" s="57"/>
      <c r="H41" s="57"/>
    </row>
    <row r="42" spans="1:8" x14ac:dyDescent="0.35">
      <c r="B42" s="205" t="s">
        <v>257</v>
      </c>
      <c r="C42" s="206"/>
      <c r="D42" s="206"/>
      <c r="E42" s="206"/>
      <c r="F42" s="210"/>
      <c r="G42" s="57"/>
    </row>
    <row r="43" spans="1:8" ht="15" thickBot="1" x14ac:dyDescent="0.4">
      <c r="B43" s="207" t="s">
        <v>287</v>
      </c>
      <c r="C43" s="208"/>
      <c r="D43" s="208"/>
      <c r="E43" s="208"/>
      <c r="F43" s="209"/>
      <c r="G43" s="57"/>
    </row>
  </sheetData>
  <mergeCells count="3">
    <mergeCell ref="B2:F2"/>
    <mergeCell ref="B1:F1"/>
    <mergeCell ref="B3:F3"/>
  </mergeCells>
  <pageMargins left="0.38" right="0.25" top="0.75" bottom="0.75" header="0.3" footer="0.3"/>
  <pageSetup scale="79" orientation="portrait" r:id="rId1"/>
  <headerFooter>
    <oddFooter>&amp;LPrepared by: Miraj Sangani&amp;CIncome Statement 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3D51-DDE1-4522-BD30-BDE956FD1E3F}">
  <sheetPr>
    <tabColor rgb="FF92D050"/>
    <pageSetUpPr fitToPage="1"/>
  </sheetPr>
  <dimension ref="A1:F37"/>
  <sheetViews>
    <sheetView zoomScaleNormal="100" zoomScalePageLayoutView="55" workbookViewId="0"/>
  </sheetViews>
  <sheetFormatPr defaultRowHeight="14" x14ac:dyDescent="0.3"/>
  <cols>
    <col min="1" max="1" width="9.453125" style="57" bestFit="1" customWidth="1"/>
    <col min="2" max="2" width="29.36328125" style="57" bestFit="1" customWidth="1"/>
    <col min="3" max="3" width="23.36328125" style="57" bestFit="1" customWidth="1"/>
    <col min="4" max="4" width="8.7265625" style="57"/>
    <col min="5" max="5" width="15.1796875" style="57" bestFit="1" customWidth="1"/>
    <col min="6" max="16384" width="8.7265625" style="57"/>
  </cols>
  <sheetData>
    <row r="1" spans="1:3" ht="14.5" thickBot="1" x14ac:dyDescent="0.35">
      <c r="B1" s="296" t="s">
        <v>154</v>
      </c>
      <c r="C1" s="298"/>
    </row>
    <row r="2" spans="1:3" ht="14.5" thickBot="1" x14ac:dyDescent="0.35">
      <c r="B2" s="302" t="s">
        <v>417</v>
      </c>
      <c r="C2" s="303"/>
    </row>
    <row r="4" spans="1:3" x14ac:dyDescent="0.3">
      <c r="A4" s="162" t="s">
        <v>189</v>
      </c>
      <c r="C4" s="188" t="s">
        <v>258</v>
      </c>
    </row>
    <row r="5" spans="1:3" x14ac:dyDescent="0.3">
      <c r="B5" s="188" t="s">
        <v>6</v>
      </c>
      <c r="C5" s="160"/>
    </row>
    <row r="6" spans="1:3" x14ac:dyDescent="0.3">
      <c r="B6" s="188" t="s">
        <v>259</v>
      </c>
      <c r="C6" s="160"/>
    </row>
    <row r="7" spans="1:3" x14ac:dyDescent="0.3">
      <c r="A7" s="57" t="s">
        <v>32</v>
      </c>
      <c r="B7" s="160" t="s">
        <v>260</v>
      </c>
      <c r="C7" s="163">
        <f>CFF!N52</f>
        <v>30878.505193114692</v>
      </c>
    </row>
    <row r="8" spans="1:3" x14ac:dyDescent="0.3">
      <c r="A8" s="57" t="s">
        <v>191</v>
      </c>
      <c r="B8" s="160" t="s">
        <v>261</v>
      </c>
      <c r="C8" s="163">
        <f>'Sales+Inv+Cost'!P50</f>
        <v>8682.75</v>
      </c>
    </row>
    <row r="9" spans="1:3" x14ac:dyDescent="0.3">
      <c r="A9" s="57" t="s">
        <v>191</v>
      </c>
      <c r="B9" s="160" t="s">
        <v>262</v>
      </c>
      <c r="C9" s="163">
        <f>'Sales+Inv+Cost'!N38</f>
        <v>9668.75</v>
      </c>
    </row>
    <row r="10" spans="1:3" ht="14.5" thickBot="1" x14ac:dyDescent="0.35">
      <c r="B10" s="189" t="s">
        <v>263</v>
      </c>
      <c r="C10" s="191">
        <f>SUM(C7:C9)</f>
        <v>49230.005193114688</v>
      </c>
    </row>
    <row r="11" spans="1:3" ht="14.5" thickTop="1" x14ac:dyDescent="0.3">
      <c r="B11" s="162"/>
      <c r="C11" s="196"/>
    </row>
    <row r="12" spans="1:3" x14ac:dyDescent="0.3">
      <c r="A12" s="57" t="s">
        <v>6</v>
      </c>
      <c r="B12" s="169" t="s">
        <v>264</v>
      </c>
      <c r="C12" s="192"/>
    </row>
    <row r="13" spans="1:3" x14ac:dyDescent="0.3">
      <c r="B13" s="160" t="s">
        <v>265</v>
      </c>
      <c r="C13" s="163">
        <f>Assets!B8</f>
        <v>55700</v>
      </c>
    </row>
    <row r="14" spans="1:3" x14ac:dyDescent="0.3">
      <c r="B14" s="160" t="s">
        <v>288</v>
      </c>
      <c r="C14" s="163">
        <f>Assets!E8</f>
        <v>8691.1111111111113</v>
      </c>
    </row>
    <row r="15" spans="1:3" x14ac:dyDescent="0.3">
      <c r="B15" s="188" t="s">
        <v>266</v>
      </c>
      <c r="C15" s="186">
        <f>C13-C14</f>
        <v>47008.888888888891</v>
      </c>
    </row>
    <row r="16" spans="1:3" x14ac:dyDescent="0.3">
      <c r="B16" s="160"/>
      <c r="C16" s="163"/>
    </row>
    <row r="17" spans="1:3" ht="14.5" thickBot="1" x14ac:dyDescent="0.35">
      <c r="B17" s="189" t="s">
        <v>267</v>
      </c>
      <c r="C17" s="191">
        <f>C10+C15</f>
        <v>96238.894082003579</v>
      </c>
    </row>
    <row r="18" spans="1:3" ht="14.5" thickTop="1" x14ac:dyDescent="0.3">
      <c r="B18" s="162"/>
      <c r="C18" s="196"/>
    </row>
    <row r="19" spans="1:3" x14ac:dyDescent="0.3">
      <c r="B19" s="169" t="s">
        <v>268</v>
      </c>
      <c r="C19" s="192"/>
    </row>
    <row r="20" spans="1:3" x14ac:dyDescent="0.3">
      <c r="B20" s="188" t="s">
        <v>269</v>
      </c>
      <c r="C20" s="163"/>
    </row>
    <row r="21" spans="1:3" x14ac:dyDescent="0.3">
      <c r="A21" s="57" t="s">
        <v>32</v>
      </c>
      <c r="B21" s="160" t="s">
        <v>270</v>
      </c>
      <c r="C21" s="163">
        <f>CFF!N51</f>
        <v>0</v>
      </c>
    </row>
    <row r="22" spans="1:3" x14ac:dyDescent="0.3">
      <c r="A22" s="57" t="s">
        <v>8</v>
      </c>
      <c r="B22" s="160" t="s">
        <v>203</v>
      </c>
      <c r="C22" s="163">
        <f>Financing!M27</f>
        <v>13829.549642137959</v>
      </c>
    </row>
    <row r="23" spans="1:3" x14ac:dyDescent="0.3">
      <c r="B23" s="188" t="s">
        <v>271</v>
      </c>
      <c r="C23" s="163">
        <f>SUM(C21:C22)</f>
        <v>13829.549642137959</v>
      </c>
    </row>
    <row r="24" spans="1:3" x14ac:dyDescent="0.3">
      <c r="B24" s="160"/>
      <c r="C24" s="163"/>
    </row>
    <row r="25" spans="1:3" ht="14.5" thickBot="1" x14ac:dyDescent="0.35">
      <c r="B25" s="189" t="s">
        <v>272</v>
      </c>
      <c r="C25" s="191">
        <f>SUM(C21:C22)</f>
        <v>13829.549642137959</v>
      </c>
    </row>
    <row r="26" spans="1:3" ht="14.5" thickTop="1" x14ac:dyDescent="0.3">
      <c r="C26" s="195"/>
    </row>
    <row r="27" spans="1:3" x14ac:dyDescent="0.3">
      <c r="B27" s="162"/>
      <c r="C27" s="196"/>
    </row>
    <row r="28" spans="1:3" x14ac:dyDescent="0.3">
      <c r="B28" s="169" t="s">
        <v>273</v>
      </c>
      <c r="C28" s="192"/>
    </row>
    <row r="29" spans="1:3" x14ac:dyDescent="0.3">
      <c r="B29" s="160" t="s">
        <v>274</v>
      </c>
      <c r="C29" s="163">
        <v>0</v>
      </c>
    </row>
    <row r="30" spans="1:3" x14ac:dyDescent="0.3">
      <c r="A30" s="57" t="s">
        <v>3</v>
      </c>
      <c r="B30" s="160" t="s">
        <v>275</v>
      </c>
      <c r="C30" s="163">
        <f>IS!C38</f>
        <v>37909.344439865585</v>
      </c>
    </row>
    <row r="31" spans="1:3" x14ac:dyDescent="0.3">
      <c r="A31" s="57" t="s">
        <v>201</v>
      </c>
      <c r="B31" s="160" t="s">
        <v>276</v>
      </c>
      <c r="C31" s="163">
        <f>CFF!O17</f>
        <v>60000</v>
      </c>
    </row>
    <row r="32" spans="1:3" x14ac:dyDescent="0.3">
      <c r="A32" s="57" t="s">
        <v>6</v>
      </c>
      <c r="B32" s="160" t="s">
        <v>277</v>
      </c>
      <c r="C32" s="163">
        <f>Assets!B7</f>
        <v>12500</v>
      </c>
    </row>
    <row r="33" spans="1:6" x14ac:dyDescent="0.3">
      <c r="A33" s="57" t="s">
        <v>206</v>
      </c>
      <c r="B33" s="160" t="s">
        <v>278</v>
      </c>
      <c r="C33" s="163">
        <f>CFF!O41</f>
        <v>28000</v>
      </c>
    </row>
    <row r="34" spans="1:6" ht="14.5" thickBot="1" x14ac:dyDescent="0.35">
      <c r="B34" s="189" t="s">
        <v>279</v>
      </c>
      <c r="C34" s="191">
        <f>C29+C30+C31+C32-C33</f>
        <v>82409.344439865585</v>
      </c>
    </row>
    <row r="35" spans="1:6" ht="14.5" thickTop="1" x14ac:dyDescent="0.3">
      <c r="B35" s="190"/>
      <c r="C35" s="192"/>
    </row>
    <row r="36" spans="1:6" ht="14.5" thickBot="1" x14ac:dyDescent="0.35">
      <c r="A36" s="193"/>
      <c r="B36" s="189" t="s">
        <v>280</v>
      </c>
      <c r="C36" s="191">
        <f>C25+C34</f>
        <v>96238.89408200355</v>
      </c>
      <c r="E36" s="251" t="s">
        <v>411</v>
      </c>
      <c r="F36" s="252">
        <f>C17-C36</f>
        <v>0</v>
      </c>
    </row>
    <row r="37" spans="1:6" ht="14.5" thickTop="1" x14ac:dyDescent="0.3"/>
  </sheetData>
  <mergeCells count="2">
    <mergeCell ref="B1:C1"/>
    <mergeCell ref="B2:C2"/>
  </mergeCells>
  <pageMargins left="0.38" right="0.25" top="0.75" bottom="0.75" header="0.3" footer="0.3"/>
  <pageSetup orientation="portrait" r:id="rId1"/>
  <headerFooter>
    <oddFooter>&amp;LPrepared by: Miraj Sangani&amp;CBalance Sheet&amp;R&amp;P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E3A13-4940-4E55-83C2-6BE7525652B9}">
  <sheetPr>
    <tabColor rgb="FFFFC000"/>
    <pageSetUpPr fitToPage="1"/>
  </sheetPr>
  <dimension ref="A1:G35"/>
  <sheetViews>
    <sheetView zoomScaleNormal="100" zoomScalePageLayoutView="55" workbookViewId="0">
      <selection sqref="A1:F1"/>
    </sheetView>
  </sheetViews>
  <sheetFormatPr defaultRowHeight="14.5" x14ac:dyDescent="0.35"/>
  <cols>
    <col min="1" max="1" width="29.08984375" bestFit="1" customWidth="1"/>
    <col min="2" max="2" width="12.1796875" bestFit="1" customWidth="1"/>
    <col min="3" max="3" width="14.26953125" bestFit="1" customWidth="1"/>
    <col min="4" max="4" width="10.1796875" bestFit="1" customWidth="1"/>
    <col min="5" max="5" width="11.1796875" bestFit="1" customWidth="1"/>
  </cols>
  <sheetData>
    <row r="1" spans="1:6" x14ac:dyDescent="0.35">
      <c r="A1" s="313" t="s">
        <v>154</v>
      </c>
      <c r="B1" s="313"/>
      <c r="C1" s="313"/>
      <c r="D1" s="313"/>
      <c r="E1" s="313"/>
      <c r="F1" s="313"/>
    </row>
    <row r="2" spans="1:6" x14ac:dyDescent="0.35">
      <c r="A2" s="314" t="s">
        <v>155</v>
      </c>
      <c r="B2" s="314"/>
      <c r="C2" s="314"/>
      <c r="D2" s="314"/>
      <c r="E2" s="314"/>
      <c r="F2" s="314"/>
    </row>
    <row r="3" spans="1:6" ht="16" x14ac:dyDescent="0.4">
      <c r="A3" s="254" t="s">
        <v>156</v>
      </c>
      <c r="B3" s="254" t="s">
        <v>157</v>
      </c>
      <c r="C3" s="254" t="s">
        <v>158</v>
      </c>
      <c r="D3" s="254" t="s">
        <v>159</v>
      </c>
      <c r="E3" s="254" t="s">
        <v>100</v>
      </c>
    </row>
    <row r="4" spans="1:6" x14ac:dyDescent="0.35">
      <c r="A4" s="1" t="s">
        <v>160</v>
      </c>
      <c r="B4" s="148">
        <v>75</v>
      </c>
      <c r="C4" s="129"/>
      <c r="D4" s="129"/>
      <c r="E4" s="129">
        <f>SUM(B4:D4)</f>
        <v>75</v>
      </c>
    </row>
    <row r="5" spans="1:6" x14ac:dyDescent="0.35">
      <c r="A5" s="1" t="s">
        <v>161</v>
      </c>
      <c r="B5" s="148">
        <v>250</v>
      </c>
      <c r="C5" s="129"/>
      <c r="D5" s="129"/>
      <c r="E5" s="129">
        <f t="shared" ref="E5:E22" si="0">SUM(B5:D5)</f>
        <v>250</v>
      </c>
    </row>
    <row r="6" spans="1:6" x14ac:dyDescent="0.35">
      <c r="A6" s="1" t="s">
        <v>162</v>
      </c>
      <c r="B6" s="129"/>
      <c r="C6" s="129"/>
      <c r="D6" s="129">
        <f>'Sales+Inv+Cost'!B51</f>
        <v>438.75</v>
      </c>
      <c r="E6" s="129">
        <f t="shared" si="0"/>
        <v>438.75</v>
      </c>
    </row>
    <row r="7" spans="1:6" x14ac:dyDescent="0.35">
      <c r="A7" s="1" t="s">
        <v>163</v>
      </c>
      <c r="B7" s="129"/>
      <c r="C7" s="129"/>
      <c r="D7" s="149">
        <f>'Sales+Inv+Cost'!B52</f>
        <v>2500</v>
      </c>
      <c r="E7" s="129">
        <f t="shared" si="0"/>
        <v>2500</v>
      </c>
    </row>
    <row r="8" spans="1:6" x14ac:dyDescent="0.35">
      <c r="A8" s="1" t="s">
        <v>124</v>
      </c>
      <c r="B8" s="129"/>
      <c r="C8" s="149">
        <f>Assets!B6</f>
        <v>8500</v>
      </c>
      <c r="D8" s="129"/>
      <c r="E8" s="129">
        <f t="shared" si="0"/>
        <v>8500</v>
      </c>
    </row>
    <row r="9" spans="1:6" x14ac:dyDescent="0.35">
      <c r="A9" s="1" t="s">
        <v>164</v>
      </c>
      <c r="B9" s="129"/>
      <c r="C9" s="149">
        <f>Assets!B4</f>
        <v>6450</v>
      </c>
      <c r="D9" s="129"/>
      <c r="E9" s="129">
        <f t="shared" si="0"/>
        <v>6450</v>
      </c>
    </row>
    <row r="10" spans="1:6" x14ac:dyDescent="0.35">
      <c r="A10" s="1" t="s">
        <v>165</v>
      </c>
      <c r="B10" s="129"/>
      <c r="C10" s="149">
        <f>Assets!B5</f>
        <v>28250</v>
      </c>
      <c r="D10" s="129"/>
      <c r="E10" s="129">
        <f t="shared" si="0"/>
        <v>28250</v>
      </c>
    </row>
    <row r="11" spans="1:6" x14ac:dyDescent="0.35">
      <c r="A11" s="1" t="s">
        <v>166</v>
      </c>
      <c r="B11" s="148">
        <v>600</v>
      </c>
      <c r="C11" s="129"/>
      <c r="D11" s="129"/>
      <c r="E11" s="129">
        <f t="shared" si="0"/>
        <v>600</v>
      </c>
    </row>
    <row r="12" spans="1:6" x14ac:dyDescent="0.35">
      <c r="A12" s="1" t="s">
        <v>286</v>
      </c>
      <c r="B12" s="148">
        <v>450</v>
      </c>
      <c r="C12" s="129"/>
      <c r="D12" s="129"/>
      <c r="E12" s="129">
        <f t="shared" si="0"/>
        <v>450</v>
      </c>
    </row>
    <row r="13" spans="1:6" x14ac:dyDescent="0.35">
      <c r="A13" s="1" t="s">
        <v>167</v>
      </c>
      <c r="B13" s="148">
        <v>550</v>
      </c>
      <c r="C13" s="129"/>
      <c r="D13" s="129"/>
      <c r="E13" s="129">
        <f t="shared" si="0"/>
        <v>550</v>
      </c>
    </row>
    <row r="14" spans="1:6" x14ac:dyDescent="0.35">
      <c r="A14" s="1" t="s">
        <v>183</v>
      </c>
      <c r="B14" s="148">
        <v>20</v>
      </c>
      <c r="C14" s="129"/>
      <c r="D14" s="129"/>
      <c r="E14" s="129">
        <f t="shared" si="0"/>
        <v>20</v>
      </c>
    </row>
    <row r="15" spans="1:6" x14ac:dyDescent="0.35">
      <c r="A15" s="1" t="s">
        <v>168</v>
      </c>
      <c r="B15" s="148">
        <v>235</v>
      </c>
      <c r="C15" s="129"/>
      <c r="D15" s="129"/>
      <c r="E15" s="129">
        <f t="shared" si="0"/>
        <v>235</v>
      </c>
    </row>
    <row r="16" spans="1:6" x14ac:dyDescent="0.35">
      <c r="A16" s="1" t="s">
        <v>184</v>
      </c>
      <c r="B16" s="148">
        <v>450</v>
      </c>
      <c r="C16" s="129"/>
      <c r="D16" s="129"/>
      <c r="E16" s="129">
        <f t="shared" si="0"/>
        <v>450</v>
      </c>
    </row>
    <row r="17" spans="1:7" x14ac:dyDescent="0.35">
      <c r="A17" s="1" t="s">
        <v>169</v>
      </c>
      <c r="B17" s="148">
        <v>365</v>
      </c>
      <c r="C17" s="129"/>
      <c r="D17" s="129"/>
      <c r="E17" s="129">
        <f t="shared" si="0"/>
        <v>365</v>
      </c>
    </row>
    <row r="18" spans="1:7" x14ac:dyDescent="0.35">
      <c r="A18" s="1" t="s">
        <v>170</v>
      </c>
      <c r="B18" s="148">
        <v>1250</v>
      </c>
      <c r="C18" s="129"/>
      <c r="D18" s="129"/>
      <c r="E18" s="129">
        <f t="shared" si="0"/>
        <v>1250</v>
      </c>
    </row>
    <row r="19" spans="1:7" x14ac:dyDescent="0.35">
      <c r="A19" s="1" t="s">
        <v>171</v>
      </c>
      <c r="B19" s="148">
        <v>740</v>
      </c>
      <c r="C19" s="129"/>
      <c r="D19" s="129"/>
      <c r="E19" s="129">
        <f t="shared" si="0"/>
        <v>740</v>
      </c>
    </row>
    <row r="20" spans="1:7" x14ac:dyDescent="0.35">
      <c r="A20" s="1" t="s">
        <v>172</v>
      </c>
      <c r="B20" s="148">
        <v>1750</v>
      </c>
      <c r="C20" s="129"/>
      <c r="D20" s="129"/>
      <c r="E20" s="129">
        <f t="shared" si="0"/>
        <v>1750</v>
      </c>
    </row>
    <row r="21" spans="1:7" x14ac:dyDescent="0.35">
      <c r="A21" s="1" t="s">
        <v>173</v>
      </c>
      <c r="B21" s="148">
        <v>3225</v>
      </c>
      <c r="C21" s="129"/>
      <c r="D21" s="129"/>
      <c r="E21" s="129">
        <f t="shared" si="0"/>
        <v>3225</v>
      </c>
    </row>
    <row r="22" spans="1:7" x14ac:dyDescent="0.35">
      <c r="A22" s="1" t="s">
        <v>174</v>
      </c>
      <c r="B22" s="148">
        <v>1950</v>
      </c>
      <c r="C22" s="129"/>
      <c r="D22" s="129"/>
      <c r="E22" s="129">
        <f t="shared" si="0"/>
        <v>1950</v>
      </c>
    </row>
    <row r="23" spans="1:7" x14ac:dyDescent="0.35">
      <c r="A23" s="85" t="s">
        <v>175</v>
      </c>
      <c r="B23" s="129">
        <f>SUM(B4:B22)</f>
        <v>11910</v>
      </c>
      <c r="C23" s="129">
        <f t="shared" ref="C23:E23" si="1">SUM(C4:C22)</f>
        <v>43200</v>
      </c>
      <c r="D23" s="129">
        <f t="shared" si="1"/>
        <v>2938.75</v>
      </c>
      <c r="E23" s="129">
        <f t="shared" si="1"/>
        <v>58048.75</v>
      </c>
    </row>
    <row r="24" spans="1:7" ht="15" thickBot="1" x14ac:dyDescent="0.4"/>
    <row r="25" spans="1:7" x14ac:dyDescent="0.35">
      <c r="A25" s="316" t="s">
        <v>186</v>
      </c>
      <c r="B25" s="317"/>
      <c r="C25" s="317"/>
      <c r="D25" s="317"/>
      <c r="E25" s="317"/>
      <c r="F25" s="318"/>
      <c r="G25" s="150"/>
    </row>
    <row r="26" spans="1:7" x14ac:dyDescent="0.35">
      <c r="A26" s="315" t="s">
        <v>285</v>
      </c>
      <c r="B26" s="315"/>
      <c r="C26" s="315"/>
      <c r="D26" s="315"/>
      <c r="E26" s="315"/>
      <c r="F26" s="315"/>
      <c r="G26" s="150"/>
    </row>
    <row r="27" spans="1:7" x14ac:dyDescent="0.35">
      <c r="A27" s="315" t="s">
        <v>187</v>
      </c>
      <c r="B27" s="315"/>
      <c r="C27" s="315"/>
      <c r="D27" s="315"/>
      <c r="E27" s="315"/>
      <c r="F27" s="315"/>
      <c r="G27" s="150"/>
    </row>
    <row r="29" spans="1:7" x14ac:dyDescent="0.35">
      <c r="A29" s="304" t="s">
        <v>176</v>
      </c>
      <c r="B29" s="305"/>
      <c r="C29" s="305"/>
      <c r="D29" s="305"/>
      <c r="E29" s="305"/>
      <c r="F29" s="306"/>
    </row>
    <row r="30" spans="1:7" x14ac:dyDescent="0.35">
      <c r="A30" s="307" t="s">
        <v>177</v>
      </c>
      <c r="B30" s="308"/>
      <c r="C30" s="308"/>
      <c r="D30" s="308"/>
      <c r="E30" s="308"/>
      <c r="F30" s="309"/>
    </row>
    <row r="32" spans="1:7" x14ac:dyDescent="0.35">
      <c r="A32" s="1" t="s">
        <v>178</v>
      </c>
      <c r="B32" s="1"/>
    </row>
    <row r="33" spans="1:6" x14ac:dyDescent="0.35">
      <c r="A33" s="1" t="s">
        <v>179</v>
      </c>
      <c r="B33" s="81">
        <v>60000</v>
      </c>
    </row>
    <row r="34" spans="1:6" ht="15" thickBot="1" x14ac:dyDescent="0.4"/>
    <row r="35" spans="1:6" ht="15" thickBot="1" x14ac:dyDescent="0.4">
      <c r="A35" s="310" t="s">
        <v>180</v>
      </c>
      <c r="B35" s="311"/>
      <c r="C35" s="311"/>
      <c r="D35" s="311"/>
      <c r="E35" s="311"/>
      <c r="F35" s="312"/>
    </row>
  </sheetData>
  <mergeCells count="8">
    <mergeCell ref="A29:F29"/>
    <mergeCell ref="A30:F30"/>
    <mergeCell ref="A35:F35"/>
    <mergeCell ref="A1:F1"/>
    <mergeCell ref="A2:F2"/>
    <mergeCell ref="A26:F26"/>
    <mergeCell ref="A27:F27"/>
    <mergeCell ref="A25:F25"/>
  </mergeCells>
  <pageMargins left="0.38" right="0.25" top="0.75" bottom="0.75" header="0.3" footer="0.3"/>
  <pageSetup scale="94" orientation="landscape" r:id="rId1"/>
  <headerFooter>
    <oddFooter>&amp;LPrepared by: Miraj Sangani&amp;CStartup Expenses&amp;R&amp;P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26A6F-1A62-4A36-9E78-CB4EFF592271}">
  <sheetPr>
    <tabColor rgb="FFFFFF00"/>
    <pageSetUpPr fitToPage="1"/>
  </sheetPr>
  <dimension ref="A1:U62"/>
  <sheetViews>
    <sheetView zoomScaleNormal="100" zoomScalePageLayoutView="55" workbookViewId="0">
      <selection sqref="A1:D1"/>
    </sheetView>
  </sheetViews>
  <sheetFormatPr defaultRowHeight="14.5" x14ac:dyDescent="0.35"/>
  <cols>
    <col min="1" max="1" width="37.6328125" bestFit="1" customWidth="1"/>
    <col min="2" max="2" width="13.90625" bestFit="1" customWidth="1"/>
    <col min="3" max="4" width="14.90625" bestFit="1" customWidth="1"/>
    <col min="5" max="12" width="12.26953125" bestFit="1" customWidth="1"/>
    <col min="13" max="13" width="13.453125" bestFit="1" customWidth="1"/>
    <col min="14" max="14" width="12.26953125" bestFit="1" customWidth="1"/>
    <col min="15" max="15" width="11.36328125" bestFit="1" customWidth="1"/>
    <col min="16" max="16" width="14.90625" bestFit="1" customWidth="1"/>
    <col min="17" max="17" width="9.08984375" bestFit="1" customWidth="1"/>
  </cols>
  <sheetData>
    <row r="1" spans="1:21" x14ac:dyDescent="0.35">
      <c r="A1" s="319" t="s">
        <v>34</v>
      </c>
      <c r="B1" s="320"/>
      <c r="C1" s="320"/>
      <c r="D1" s="321"/>
    </row>
    <row r="3" spans="1:21" ht="13.5" customHeight="1" x14ac:dyDescent="0.35">
      <c r="A3" s="337" t="s">
        <v>73</v>
      </c>
      <c r="B3" s="368"/>
      <c r="C3" s="56">
        <v>325000</v>
      </c>
      <c r="U3" s="36"/>
    </row>
    <row r="4" spans="1:21" x14ac:dyDescent="0.35">
      <c r="U4" s="36"/>
    </row>
    <row r="5" spans="1:21" ht="29" x14ac:dyDescent="0.35">
      <c r="A5" s="29"/>
      <c r="B5" s="21" t="s">
        <v>40</v>
      </c>
      <c r="C5" s="22" t="s">
        <v>41</v>
      </c>
      <c r="D5" s="21" t="s">
        <v>53</v>
      </c>
      <c r="U5" s="36"/>
    </row>
    <row r="6" spans="1:21" x14ac:dyDescent="0.35">
      <c r="A6" s="367" t="s">
        <v>35</v>
      </c>
      <c r="B6" s="23">
        <v>0.18</v>
      </c>
      <c r="C6" s="23">
        <v>0.48</v>
      </c>
      <c r="D6" s="23">
        <v>0.34</v>
      </c>
      <c r="U6" s="36"/>
    </row>
    <row r="7" spans="1:21" x14ac:dyDescent="0.35">
      <c r="A7" s="367" t="s">
        <v>36</v>
      </c>
      <c r="B7" s="28">
        <f>B6*$C$3</f>
        <v>58500</v>
      </c>
      <c r="C7" s="28">
        <f>C6*$C$3</f>
        <v>156000</v>
      </c>
      <c r="D7" s="28">
        <f>D6*$C$3</f>
        <v>110500.00000000001</v>
      </c>
      <c r="U7" s="36"/>
    </row>
    <row r="8" spans="1:21" x14ac:dyDescent="0.35">
      <c r="A8" s="367" t="s">
        <v>284</v>
      </c>
      <c r="B8" s="23">
        <v>0.32</v>
      </c>
      <c r="C8" s="23">
        <v>0.32</v>
      </c>
      <c r="D8" s="23">
        <v>0.32</v>
      </c>
      <c r="U8" s="36"/>
    </row>
    <row r="9" spans="1:21" x14ac:dyDescent="0.35">
      <c r="A9" s="367" t="s">
        <v>37</v>
      </c>
      <c r="B9" s="24">
        <f>B7*(1+B8)</f>
        <v>77220</v>
      </c>
      <c r="C9" s="24">
        <f>C7*(1+C8)</f>
        <v>205920</v>
      </c>
      <c r="D9" s="24">
        <f>D7*(1+D8)</f>
        <v>145860.00000000003</v>
      </c>
      <c r="U9" s="36"/>
    </row>
    <row r="10" spans="1:21" x14ac:dyDescent="0.35">
      <c r="A10" s="367"/>
      <c r="B10" s="21"/>
      <c r="C10" s="21"/>
      <c r="D10" s="21"/>
      <c r="U10" s="36"/>
    </row>
    <row r="11" spans="1:21" x14ac:dyDescent="0.35">
      <c r="A11" s="367" t="s">
        <v>38</v>
      </c>
      <c r="B11" s="25">
        <v>0.7</v>
      </c>
      <c r="C11" s="25">
        <v>0.1</v>
      </c>
      <c r="D11" s="25">
        <v>0</v>
      </c>
      <c r="E11" s="20"/>
      <c r="U11" s="36"/>
    </row>
    <row r="12" spans="1:21" x14ac:dyDescent="0.35">
      <c r="A12" s="367" t="s">
        <v>42</v>
      </c>
      <c r="B12" s="26">
        <f>1-B11</f>
        <v>0.30000000000000004</v>
      </c>
      <c r="C12" s="26">
        <f>1-C11</f>
        <v>0.9</v>
      </c>
      <c r="D12" s="25">
        <v>0.65</v>
      </c>
      <c r="U12" s="36"/>
    </row>
    <row r="13" spans="1:21" x14ac:dyDescent="0.35">
      <c r="A13" s="367" t="s">
        <v>39</v>
      </c>
      <c r="B13" s="21"/>
      <c r="C13" s="21"/>
      <c r="D13" s="27">
        <f>1-D12</f>
        <v>0.35</v>
      </c>
      <c r="U13" s="36"/>
    </row>
    <row r="14" spans="1:21" x14ac:dyDescent="0.35">
      <c r="U14" s="36"/>
    </row>
    <row r="15" spans="1:21" x14ac:dyDescent="0.35">
      <c r="A15" s="29"/>
      <c r="B15" s="21">
        <v>1</v>
      </c>
      <c r="C15" s="21">
        <v>2</v>
      </c>
      <c r="D15" s="21">
        <v>3</v>
      </c>
      <c r="E15" s="21">
        <v>4</v>
      </c>
      <c r="F15" s="21">
        <v>5</v>
      </c>
      <c r="G15" s="37">
        <v>6</v>
      </c>
      <c r="H15" s="21">
        <v>7</v>
      </c>
      <c r="I15" s="39">
        <v>8</v>
      </c>
      <c r="J15" s="21">
        <v>9</v>
      </c>
      <c r="K15" s="21">
        <v>10</v>
      </c>
      <c r="L15" s="21">
        <v>11</v>
      </c>
      <c r="M15" s="21">
        <v>12</v>
      </c>
      <c r="N15" s="37">
        <v>13</v>
      </c>
      <c r="O15" s="178" t="s">
        <v>128</v>
      </c>
      <c r="U15" s="36"/>
    </row>
    <row r="16" spans="1:21" x14ac:dyDescent="0.35">
      <c r="A16" s="367" t="s">
        <v>43</v>
      </c>
      <c r="B16" s="30">
        <v>45658</v>
      </c>
      <c r="C16" s="31">
        <v>45689</v>
      </c>
      <c r="D16" s="31">
        <v>45717</v>
      </c>
      <c r="E16" s="31">
        <v>45748</v>
      </c>
      <c r="F16" s="31">
        <v>45778</v>
      </c>
      <c r="G16" s="38">
        <v>45809</v>
      </c>
      <c r="H16" s="31">
        <v>45839</v>
      </c>
      <c r="I16" s="30">
        <v>45870</v>
      </c>
      <c r="J16" s="31">
        <v>45901</v>
      </c>
      <c r="K16" s="31">
        <v>45931</v>
      </c>
      <c r="L16" s="31">
        <v>45962</v>
      </c>
      <c r="M16" s="31">
        <v>45992</v>
      </c>
      <c r="N16" s="38">
        <v>46023</v>
      </c>
      <c r="O16" s="178"/>
      <c r="U16" s="36"/>
    </row>
    <row r="17" spans="1:18" x14ac:dyDescent="0.35">
      <c r="A17" s="369" t="s">
        <v>44</v>
      </c>
      <c r="B17" s="25">
        <v>0.02</v>
      </c>
      <c r="C17" s="25">
        <v>0.04</v>
      </c>
      <c r="D17" s="25">
        <v>0.04</v>
      </c>
      <c r="E17" s="25">
        <v>0.05</v>
      </c>
      <c r="F17" s="25">
        <v>0.02</v>
      </c>
      <c r="G17" s="157">
        <v>0.05</v>
      </c>
      <c r="H17" s="25">
        <v>0.08</v>
      </c>
      <c r="I17" s="158">
        <v>0.08</v>
      </c>
      <c r="J17" s="25">
        <v>0.1</v>
      </c>
      <c r="K17" s="25">
        <v>0.12</v>
      </c>
      <c r="L17" s="25">
        <v>0.18</v>
      </c>
      <c r="M17" s="25">
        <v>0.22</v>
      </c>
      <c r="N17" s="157">
        <v>0.05</v>
      </c>
      <c r="O17" s="179">
        <f>SUM(B17:M17)</f>
        <v>1</v>
      </c>
      <c r="Q17" s="40"/>
    </row>
    <row r="18" spans="1:18" x14ac:dyDescent="0.35">
      <c r="A18" s="367" t="s">
        <v>45</v>
      </c>
      <c r="B18" s="136">
        <f>$B$7*B17</f>
        <v>1170</v>
      </c>
      <c r="C18" s="134">
        <f t="shared" ref="C18:M18" si="0">$B$7*C17</f>
        <v>2340</v>
      </c>
      <c r="D18" s="134">
        <f t="shared" si="0"/>
        <v>2340</v>
      </c>
      <c r="E18" s="134">
        <f t="shared" si="0"/>
        <v>2925</v>
      </c>
      <c r="F18" s="134">
        <f t="shared" si="0"/>
        <v>1170</v>
      </c>
      <c r="G18" s="138">
        <f t="shared" si="0"/>
        <v>2925</v>
      </c>
      <c r="H18" s="134">
        <f t="shared" si="0"/>
        <v>4680</v>
      </c>
      <c r="I18" s="139">
        <f t="shared" si="0"/>
        <v>4680</v>
      </c>
      <c r="J18" s="134">
        <f t="shared" si="0"/>
        <v>5850</v>
      </c>
      <c r="K18" s="134">
        <f t="shared" si="0"/>
        <v>7020</v>
      </c>
      <c r="L18" s="134">
        <f t="shared" si="0"/>
        <v>10530</v>
      </c>
      <c r="M18" s="134">
        <f t="shared" si="0"/>
        <v>12870</v>
      </c>
      <c r="N18" s="138">
        <f>$B$9*N17</f>
        <v>3861</v>
      </c>
      <c r="O18" s="178">
        <f>SUM(B18:M18)</f>
        <v>58500</v>
      </c>
      <c r="Q18" s="41"/>
    </row>
    <row r="19" spans="1:18" x14ac:dyDescent="0.35">
      <c r="A19" s="367" t="s">
        <v>46</v>
      </c>
      <c r="B19" s="134">
        <f>B18*$B$11</f>
        <v>819</v>
      </c>
      <c r="C19" s="134">
        <f t="shared" ref="C19:M19" si="1">C18*$B$11</f>
        <v>1638</v>
      </c>
      <c r="D19" s="134">
        <f t="shared" si="1"/>
        <v>1638</v>
      </c>
      <c r="E19" s="134">
        <f t="shared" si="1"/>
        <v>2047.4999999999998</v>
      </c>
      <c r="F19" s="134">
        <f t="shared" si="1"/>
        <v>819</v>
      </c>
      <c r="G19" s="138">
        <f t="shared" si="1"/>
        <v>2047.4999999999998</v>
      </c>
      <c r="H19" s="134">
        <f t="shared" si="1"/>
        <v>3276</v>
      </c>
      <c r="I19" s="139">
        <f t="shared" si="1"/>
        <v>3276</v>
      </c>
      <c r="J19" s="134">
        <f t="shared" si="1"/>
        <v>4094.9999999999995</v>
      </c>
      <c r="K19" s="134">
        <f t="shared" si="1"/>
        <v>4914</v>
      </c>
      <c r="L19" s="134">
        <f t="shared" si="1"/>
        <v>7370.9999999999991</v>
      </c>
      <c r="M19" s="134">
        <f t="shared" si="1"/>
        <v>9009</v>
      </c>
      <c r="N19" s="138">
        <f>N18*$B$11</f>
        <v>2702.7</v>
      </c>
      <c r="O19" s="178">
        <f>SUM(B19:M19)</f>
        <v>40950</v>
      </c>
      <c r="Q19" s="41"/>
    </row>
    <row r="20" spans="1:18" x14ac:dyDescent="0.35">
      <c r="A20" s="367" t="s">
        <v>47</v>
      </c>
      <c r="B20" s="134">
        <f>B18*$B$12</f>
        <v>351.00000000000006</v>
      </c>
      <c r="C20" s="134">
        <f t="shared" ref="C20:N20" si="2">C18*$B$12</f>
        <v>702.00000000000011</v>
      </c>
      <c r="D20" s="134">
        <f t="shared" si="2"/>
        <v>702.00000000000011</v>
      </c>
      <c r="E20" s="134">
        <f t="shared" si="2"/>
        <v>877.50000000000011</v>
      </c>
      <c r="F20" s="134">
        <f t="shared" si="2"/>
        <v>351.00000000000006</v>
      </c>
      <c r="G20" s="138">
        <f t="shared" si="2"/>
        <v>877.50000000000011</v>
      </c>
      <c r="H20" s="134">
        <f t="shared" si="2"/>
        <v>1404.0000000000002</v>
      </c>
      <c r="I20" s="139">
        <f t="shared" si="2"/>
        <v>1404.0000000000002</v>
      </c>
      <c r="J20" s="134">
        <f t="shared" si="2"/>
        <v>1755.0000000000002</v>
      </c>
      <c r="K20" s="134">
        <f t="shared" si="2"/>
        <v>2106.0000000000005</v>
      </c>
      <c r="L20" s="134">
        <f t="shared" si="2"/>
        <v>3159.0000000000005</v>
      </c>
      <c r="M20" s="134">
        <f t="shared" si="2"/>
        <v>3861.0000000000005</v>
      </c>
      <c r="N20" s="138">
        <f t="shared" si="2"/>
        <v>1158.3000000000002</v>
      </c>
      <c r="O20" s="178">
        <f t="shared" ref="O20" si="3">SUM(B20:M20)</f>
        <v>17550.000000000004</v>
      </c>
      <c r="Q20" s="41"/>
      <c r="R20" s="255">
        <f>SUM(B19:M20)</f>
        <v>58500</v>
      </c>
    </row>
    <row r="21" spans="1:18" x14ac:dyDescent="0.35">
      <c r="A21" s="29"/>
      <c r="B21" s="123"/>
      <c r="C21" s="123"/>
      <c r="D21" s="123"/>
      <c r="E21" s="123"/>
      <c r="F21" s="123"/>
      <c r="G21" s="123"/>
      <c r="H21" s="140"/>
      <c r="I21" s="123"/>
      <c r="J21" s="123"/>
      <c r="K21" s="123"/>
      <c r="L21" s="123"/>
      <c r="M21" s="123"/>
      <c r="N21" s="123"/>
      <c r="O21" s="123"/>
      <c r="Q21" s="42"/>
      <c r="R21" s="42"/>
    </row>
    <row r="22" spans="1:18" x14ac:dyDescent="0.35">
      <c r="A22" s="29"/>
      <c r="B22" s="21">
        <v>1</v>
      </c>
      <c r="C22" s="21">
        <v>2</v>
      </c>
      <c r="D22" s="21">
        <v>3</v>
      </c>
      <c r="E22" s="21">
        <v>4</v>
      </c>
      <c r="F22" s="21">
        <v>5</v>
      </c>
      <c r="G22" s="37">
        <v>6</v>
      </c>
      <c r="H22" s="21">
        <v>7</v>
      </c>
      <c r="I22" s="39">
        <v>8</v>
      </c>
      <c r="J22" s="21">
        <v>9</v>
      </c>
      <c r="K22" s="21">
        <v>10</v>
      </c>
      <c r="L22" s="21">
        <v>11</v>
      </c>
      <c r="M22" s="21">
        <v>12</v>
      </c>
      <c r="N22" s="21">
        <v>13</v>
      </c>
      <c r="O22" s="178" t="s">
        <v>100</v>
      </c>
      <c r="Q22" s="42"/>
      <c r="R22" s="42"/>
    </row>
    <row r="23" spans="1:18" x14ac:dyDescent="0.35">
      <c r="A23" s="367" t="s">
        <v>43</v>
      </c>
      <c r="B23" s="30">
        <v>45658</v>
      </c>
      <c r="C23" s="30">
        <v>45689</v>
      </c>
      <c r="D23" s="30">
        <v>45717</v>
      </c>
      <c r="E23" s="30">
        <v>45748</v>
      </c>
      <c r="F23" s="30">
        <v>45778</v>
      </c>
      <c r="G23" s="30">
        <v>45809</v>
      </c>
      <c r="H23" s="30">
        <v>45839</v>
      </c>
      <c r="I23" s="30">
        <v>45870</v>
      </c>
      <c r="J23" s="30">
        <v>45901</v>
      </c>
      <c r="K23" s="30">
        <v>45931</v>
      </c>
      <c r="L23" s="30">
        <v>45962</v>
      </c>
      <c r="M23" s="30">
        <v>45992</v>
      </c>
      <c r="N23" s="30">
        <v>46023</v>
      </c>
      <c r="O23" s="178"/>
      <c r="Q23" s="42"/>
      <c r="R23" s="42"/>
    </row>
    <row r="24" spans="1:18" x14ac:dyDescent="0.35">
      <c r="A24" s="369" t="s">
        <v>49</v>
      </c>
      <c r="B24" s="25">
        <v>0</v>
      </c>
      <c r="C24" s="25">
        <v>7.0000000000000007E-2</v>
      </c>
      <c r="D24" s="25">
        <v>0.04</v>
      </c>
      <c r="E24" s="25">
        <v>0.05</v>
      </c>
      <c r="F24" s="25">
        <v>0</v>
      </c>
      <c r="G24" s="157">
        <v>0</v>
      </c>
      <c r="H24" s="25">
        <v>0.05</v>
      </c>
      <c r="I24" s="158">
        <v>0.1</v>
      </c>
      <c r="J24" s="25">
        <v>0.13</v>
      </c>
      <c r="K24" s="25">
        <v>0.19</v>
      </c>
      <c r="L24" s="25">
        <v>0.25</v>
      </c>
      <c r="M24" s="25">
        <v>0.12</v>
      </c>
      <c r="N24" s="25">
        <v>0</v>
      </c>
      <c r="O24" s="179">
        <f>SUM(B24:M24)</f>
        <v>1</v>
      </c>
      <c r="Q24" s="40"/>
      <c r="R24" s="42"/>
    </row>
    <row r="25" spans="1:18" x14ac:dyDescent="0.35">
      <c r="A25" s="367" t="s">
        <v>50</v>
      </c>
      <c r="B25" s="24">
        <f>$C$7*B24</f>
        <v>0</v>
      </c>
      <c r="C25" s="24">
        <f t="shared" ref="C25:M25" si="4">$C$7*C24</f>
        <v>10920.000000000002</v>
      </c>
      <c r="D25" s="24">
        <f t="shared" si="4"/>
        <v>6240</v>
      </c>
      <c r="E25" s="24">
        <f t="shared" si="4"/>
        <v>7800</v>
      </c>
      <c r="F25" s="24">
        <f t="shared" si="4"/>
        <v>0</v>
      </c>
      <c r="G25" s="141">
        <f t="shared" si="4"/>
        <v>0</v>
      </c>
      <c r="H25" s="24">
        <f t="shared" si="4"/>
        <v>7800</v>
      </c>
      <c r="I25" s="142">
        <f t="shared" si="4"/>
        <v>15600</v>
      </c>
      <c r="J25" s="24">
        <f t="shared" si="4"/>
        <v>20280</v>
      </c>
      <c r="K25" s="24">
        <f t="shared" si="4"/>
        <v>29640</v>
      </c>
      <c r="L25" s="24">
        <f t="shared" si="4"/>
        <v>39000</v>
      </c>
      <c r="M25" s="24">
        <f t="shared" si="4"/>
        <v>18720</v>
      </c>
      <c r="N25" s="24">
        <f>$C$9*N24</f>
        <v>0</v>
      </c>
      <c r="O25" s="178">
        <f>SUM(B25:M25)</f>
        <v>156000</v>
      </c>
      <c r="Q25" s="43"/>
      <c r="R25" s="42"/>
    </row>
    <row r="26" spans="1:18" x14ac:dyDescent="0.35">
      <c r="A26" s="367" t="s">
        <v>51</v>
      </c>
      <c r="B26" s="24">
        <f>B25*$C$11</f>
        <v>0</v>
      </c>
      <c r="C26" s="24">
        <f t="shared" ref="C26:N26" si="5">C25*$C$11</f>
        <v>1092.0000000000002</v>
      </c>
      <c r="D26" s="24">
        <f t="shared" si="5"/>
        <v>624</v>
      </c>
      <c r="E26" s="24">
        <f t="shared" si="5"/>
        <v>780</v>
      </c>
      <c r="F26" s="24">
        <f t="shared" si="5"/>
        <v>0</v>
      </c>
      <c r="G26" s="141">
        <f t="shared" si="5"/>
        <v>0</v>
      </c>
      <c r="H26" s="24">
        <f t="shared" si="5"/>
        <v>780</v>
      </c>
      <c r="I26" s="142">
        <f t="shared" si="5"/>
        <v>1560</v>
      </c>
      <c r="J26" s="24">
        <f t="shared" si="5"/>
        <v>2028</v>
      </c>
      <c r="K26" s="24">
        <f t="shared" si="5"/>
        <v>2964</v>
      </c>
      <c r="L26" s="24">
        <f t="shared" si="5"/>
        <v>3900</v>
      </c>
      <c r="M26" s="24">
        <f t="shared" si="5"/>
        <v>1872</v>
      </c>
      <c r="N26" s="24">
        <f t="shared" si="5"/>
        <v>0</v>
      </c>
      <c r="O26" s="178">
        <f t="shared" ref="O26:O27" si="6">SUM(B26:M26)</f>
        <v>15600</v>
      </c>
      <c r="Q26" s="43"/>
      <c r="R26" s="42"/>
    </row>
    <row r="27" spans="1:18" x14ac:dyDescent="0.35">
      <c r="A27" s="367" t="s">
        <v>52</v>
      </c>
      <c r="B27" s="24">
        <f>B25*$C$12</f>
        <v>0</v>
      </c>
      <c r="C27" s="24">
        <f t="shared" ref="C27:N27" si="7">C25*$C$12</f>
        <v>9828.0000000000018</v>
      </c>
      <c r="D27" s="24">
        <f t="shared" si="7"/>
        <v>5616</v>
      </c>
      <c r="E27" s="24">
        <f t="shared" si="7"/>
        <v>7020</v>
      </c>
      <c r="F27" s="24">
        <f t="shared" si="7"/>
        <v>0</v>
      </c>
      <c r="G27" s="141">
        <f t="shared" si="7"/>
        <v>0</v>
      </c>
      <c r="H27" s="24">
        <f t="shared" si="7"/>
        <v>7020</v>
      </c>
      <c r="I27" s="142">
        <f t="shared" si="7"/>
        <v>14040</v>
      </c>
      <c r="J27" s="24">
        <f t="shared" si="7"/>
        <v>18252</v>
      </c>
      <c r="K27" s="24">
        <f t="shared" si="7"/>
        <v>26676</v>
      </c>
      <c r="L27" s="24">
        <f t="shared" si="7"/>
        <v>35100</v>
      </c>
      <c r="M27" s="24">
        <f t="shared" si="7"/>
        <v>16848</v>
      </c>
      <c r="N27" s="24">
        <f t="shared" si="7"/>
        <v>0</v>
      </c>
      <c r="O27" s="178">
        <f t="shared" si="6"/>
        <v>140400</v>
      </c>
      <c r="Q27" s="43"/>
      <c r="R27" s="255">
        <f>SUM(B26:M27)</f>
        <v>156000</v>
      </c>
    </row>
    <row r="28" spans="1:18" x14ac:dyDescent="0.35">
      <c r="A28" s="29"/>
      <c r="B28" s="123"/>
      <c r="C28" s="123"/>
      <c r="D28" s="123"/>
      <c r="E28" s="123"/>
      <c r="F28" s="123"/>
      <c r="G28" s="123"/>
      <c r="H28" s="140"/>
      <c r="I28" s="123"/>
      <c r="J28" s="123"/>
      <c r="K28" s="123"/>
      <c r="L28" s="123"/>
      <c r="M28" s="123"/>
      <c r="N28" s="123"/>
      <c r="O28" s="123"/>
      <c r="Q28" s="42"/>
      <c r="R28" s="42"/>
    </row>
    <row r="29" spans="1:18" x14ac:dyDescent="0.35">
      <c r="A29" s="29"/>
      <c r="B29" s="21">
        <v>1</v>
      </c>
      <c r="C29" s="21">
        <v>2</v>
      </c>
      <c r="D29" s="21">
        <v>3</v>
      </c>
      <c r="E29" s="21">
        <v>4</v>
      </c>
      <c r="F29" s="21">
        <v>5</v>
      </c>
      <c r="G29" s="37">
        <v>6</v>
      </c>
      <c r="H29" s="21">
        <v>7</v>
      </c>
      <c r="I29" s="39">
        <v>8</v>
      </c>
      <c r="J29" s="21">
        <v>9</v>
      </c>
      <c r="K29" s="21">
        <v>10</v>
      </c>
      <c r="L29" s="21">
        <v>11</v>
      </c>
      <c r="M29" s="21">
        <v>12</v>
      </c>
      <c r="N29" s="21">
        <v>13</v>
      </c>
      <c r="O29" s="178" t="s">
        <v>100</v>
      </c>
      <c r="Q29" s="42"/>
      <c r="R29" s="42"/>
    </row>
    <row r="30" spans="1:18" x14ac:dyDescent="0.35">
      <c r="A30" s="367" t="s">
        <v>43</v>
      </c>
      <c r="B30" s="30">
        <v>45658</v>
      </c>
      <c r="C30" s="30">
        <v>45689</v>
      </c>
      <c r="D30" s="30">
        <v>45717</v>
      </c>
      <c r="E30" s="30">
        <v>45748</v>
      </c>
      <c r="F30" s="30">
        <v>45778</v>
      </c>
      <c r="G30" s="30">
        <v>45809</v>
      </c>
      <c r="H30" s="30">
        <v>45839</v>
      </c>
      <c r="I30" s="30">
        <v>45870</v>
      </c>
      <c r="J30" s="30">
        <v>45901</v>
      </c>
      <c r="K30" s="30">
        <v>45931</v>
      </c>
      <c r="L30" s="30">
        <v>45962</v>
      </c>
      <c r="M30" s="30">
        <v>45992</v>
      </c>
      <c r="N30" s="30">
        <v>46023</v>
      </c>
      <c r="O30" s="178"/>
      <c r="Q30" s="42"/>
      <c r="R30" s="42"/>
    </row>
    <row r="31" spans="1:18" x14ac:dyDescent="0.35">
      <c r="A31" s="369" t="s">
        <v>54</v>
      </c>
      <c r="B31" s="25">
        <v>0</v>
      </c>
      <c r="C31" s="25">
        <v>0.08</v>
      </c>
      <c r="D31" s="25">
        <v>0.06</v>
      </c>
      <c r="E31" s="25">
        <v>0.05</v>
      </c>
      <c r="F31" s="25">
        <v>0.04</v>
      </c>
      <c r="G31" s="157">
        <v>0.03</v>
      </c>
      <c r="H31" s="25">
        <v>0.03</v>
      </c>
      <c r="I31" s="158">
        <v>0.02</v>
      </c>
      <c r="J31" s="25">
        <v>0.09</v>
      </c>
      <c r="K31" s="25">
        <v>0.16</v>
      </c>
      <c r="L31" s="25">
        <v>0.19</v>
      </c>
      <c r="M31" s="25">
        <v>0.25</v>
      </c>
      <c r="N31" s="25">
        <v>0.05</v>
      </c>
      <c r="O31" s="179">
        <f>SUM(B31:M31)</f>
        <v>1</v>
      </c>
      <c r="Q31" s="40"/>
      <c r="R31" s="42"/>
    </row>
    <row r="32" spans="1:18" x14ac:dyDescent="0.35">
      <c r="A32" s="367" t="s">
        <v>55</v>
      </c>
      <c r="B32" s="24">
        <f>B31*$D$7</f>
        <v>0</v>
      </c>
      <c r="C32" s="24">
        <f t="shared" ref="C32:M32" si="8">C31*$D$7</f>
        <v>8840.0000000000018</v>
      </c>
      <c r="D32" s="24">
        <f t="shared" si="8"/>
        <v>6630.0000000000009</v>
      </c>
      <c r="E32" s="24">
        <f t="shared" si="8"/>
        <v>5525.0000000000009</v>
      </c>
      <c r="F32" s="24">
        <f t="shared" si="8"/>
        <v>4420.0000000000009</v>
      </c>
      <c r="G32" s="141">
        <f t="shared" si="8"/>
        <v>3315.0000000000005</v>
      </c>
      <c r="H32" s="24">
        <f t="shared" si="8"/>
        <v>3315.0000000000005</v>
      </c>
      <c r="I32" s="142">
        <f t="shared" si="8"/>
        <v>2210.0000000000005</v>
      </c>
      <c r="J32" s="24">
        <f t="shared" si="8"/>
        <v>9945.0000000000018</v>
      </c>
      <c r="K32" s="24">
        <f t="shared" si="8"/>
        <v>17680.000000000004</v>
      </c>
      <c r="L32" s="24">
        <f t="shared" si="8"/>
        <v>20995.000000000004</v>
      </c>
      <c r="M32" s="24">
        <f t="shared" si="8"/>
        <v>27625.000000000004</v>
      </c>
      <c r="N32" s="24">
        <f>N31*$D$9</f>
        <v>7293.0000000000018</v>
      </c>
      <c r="O32" s="178">
        <f>SUM(B32:M32)</f>
        <v>110500.00000000001</v>
      </c>
      <c r="Q32" s="43"/>
      <c r="R32" s="42"/>
    </row>
    <row r="33" spans="1:18" x14ac:dyDescent="0.35">
      <c r="A33" s="367" t="s">
        <v>56</v>
      </c>
      <c r="B33" s="24">
        <f>B32*$D$12</f>
        <v>0</v>
      </c>
      <c r="C33" s="24">
        <f t="shared" ref="C33:N33" si="9">C32*$D$12</f>
        <v>5746.0000000000018</v>
      </c>
      <c r="D33" s="24">
        <f t="shared" si="9"/>
        <v>4309.5000000000009</v>
      </c>
      <c r="E33" s="24">
        <f t="shared" si="9"/>
        <v>3591.2500000000009</v>
      </c>
      <c r="F33" s="24">
        <f t="shared" si="9"/>
        <v>2873.0000000000009</v>
      </c>
      <c r="G33" s="141">
        <f t="shared" si="9"/>
        <v>2154.7500000000005</v>
      </c>
      <c r="H33" s="24">
        <f t="shared" si="9"/>
        <v>2154.7500000000005</v>
      </c>
      <c r="I33" s="142">
        <f t="shared" si="9"/>
        <v>1436.5000000000005</v>
      </c>
      <c r="J33" s="24">
        <f t="shared" si="9"/>
        <v>6464.2500000000018</v>
      </c>
      <c r="K33" s="24">
        <f t="shared" si="9"/>
        <v>11492.000000000004</v>
      </c>
      <c r="L33" s="24">
        <f t="shared" si="9"/>
        <v>13646.750000000004</v>
      </c>
      <c r="M33" s="24">
        <f t="shared" si="9"/>
        <v>17956.250000000004</v>
      </c>
      <c r="N33" s="24">
        <f t="shared" si="9"/>
        <v>4740.4500000000016</v>
      </c>
      <c r="O33" s="178">
        <f t="shared" ref="O33:O34" si="10">SUM(B33:M33)</f>
        <v>71825.000000000015</v>
      </c>
      <c r="Q33" s="43"/>
      <c r="R33" s="42"/>
    </row>
    <row r="34" spans="1:18" x14ac:dyDescent="0.35">
      <c r="A34" s="367" t="s">
        <v>58</v>
      </c>
      <c r="B34" s="143">
        <f>B32*$D$13</f>
        <v>0</v>
      </c>
      <c r="C34" s="143">
        <f t="shared" ref="C34:N34" si="11">C32*$D$13</f>
        <v>3094.0000000000005</v>
      </c>
      <c r="D34" s="143">
        <f t="shared" si="11"/>
        <v>2320.5</v>
      </c>
      <c r="E34" s="143">
        <f t="shared" si="11"/>
        <v>1933.7500000000002</v>
      </c>
      <c r="F34" s="143">
        <f t="shared" si="11"/>
        <v>1547.0000000000002</v>
      </c>
      <c r="G34" s="144">
        <f t="shared" si="11"/>
        <v>1160.25</v>
      </c>
      <c r="H34" s="143">
        <f t="shared" si="11"/>
        <v>1160.25</v>
      </c>
      <c r="I34" s="145">
        <f t="shared" si="11"/>
        <v>773.50000000000011</v>
      </c>
      <c r="J34" s="143">
        <f t="shared" si="11"/>
        <v>3480.7500000000005</v>
      </c>
      <c r="K34" s="143">
        <f t="shared" si="11"/>
        <v>6188.0000000000009</v>
      </c>
      <c r="L34" s="143">
        <f t="shared" si="11"/>
        <v>7348.2500000000009</v>
      </c>
      <c r="M34" s="143">
        <f t="shared" si="11"/>
        <v>9668.75</v>
      </c>
      <c r="N34" s="143">
        <f t="shared" si="11"/>
        <v>2552.5500000000006</v>
      </c>
      <c r="O34" s="178">
        <f t="shared" si="10"/>
        <v>38675</v>
      </c>
      <c r="Q34" s="43"/>
      <c r="R34" s="255">
        <f>SUM(B33:M34)</f>
        <v>110500.00000000001</v>
      </c>
    </row>
    <row r="35" spans="1:18" x14ac:dyDescent="0.35">
      <c r="A35" s="29"/>
      <c r="B35" s="146"/>
      <c r="C35" s="146"/>
      <c r="D35" s="146"/>
      <c r="E35" s="146"/>
      <c r="F35" s="146"/>
      <c r="G35" s="146"/>
      <c r="H35" s="24"/>
      <c r="I35" s="146"/>
      <c r="J35" s="146"/>
      <c r="K35" s="146"/>
      <c r="L35" s="146"/>
      <c r="M35" s="146"/>
      <c r="N35" s="146"/>
      <c r="R35" s="42"/>
    </row>
    <row r="36" spans="1:18" ht="15" thickBot="1" x14ac:dyDescent="0.4">
      <c r="A36" s="370" t="s">
        <v>48</v>
      </c>
      <c r="B36" s="153">
        <f>SUM(B18+B25+B32)</f>
        <v>1170</v>
      </c>
      <c r="C36" s="153">
        <f t="shared" ref="C36:N36" si="12">SUM(C18+C25+C32)</f>
        <v>22100.000000000004</v>
      </c>
      <c r="D36" s="153">
        <f t="shared" si="12"/>
        <v>15210</v>
      </c>
      <c r="E36" s="153">
        <f t="shared" si="12"/>
        <v>16250</v>
      </c>
      <c r="F36" s="153">
        <f t="shared" si="12"/>
        <v>5590.0000000000009</v>
      </c>
      <c r="G36" s="154">
        <f t="shared" si="12"/>
        <v>6240</v>
      </c>
      <c r="H36" s="153">
        <f t="shared" si="12"/>
        <v>15795</v>
      </c>
      <c r="I36" s="155">
        <f t="shared" si="12"/>
        <v>22490</v>
      </c>
      <c r="J36" s="153">
        <f t="shared" si="12"/>
        <v>36075</v>
      </c>
      <c r="K36" s="153">
        <f t="shared" si="12"/>
        <v>54340</v>
      </c>
      <c r="L36" s="153">
        <f t="shared" si="12"/>
        <v>70525</v>
      </c>
      <c r="M36" s="153">
        <f t="shared" si="12"/>
        <v>59215</v>
      </c>
      <c r="N36" s="153">
        <f t="shared" si="12"/>
        <v>11154.000000000002</v>
      </c>
      <c r="O36" s="153">
        <f>SUM(B36:M36)</f>
        <v>325000</v>
      </c>
      <c r="R36" s="255">
        <f>SUM(R20,R27,R34)</f>
        <v>325000</v>
      </c>
    </row>
    <row r="37" spans="1:18" ht="15" thickTop="1" x14ac:dyDescent="0.35">
      <c r="A37" s="33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32"/>
    </row>
    <row r="38" spans="1:18" ht="15" thickBot="1" x14ac:dyDescent="0.4">
      <c r="A38" s="371" t="s">
        <v>57</v>
      </c>
      <c r="B38" s="156">
        <v>0</v>
      </c>
      <c r="C38" s="153">
        <f>B34</f>
        <v>0</v>
      </c>
      <c r="D38" s="153">
        <f t="shared" ref="D38:N38" si="13">C34</f>
        <v>3094.0000000000005</v>
      </c>
      <c r="E38" s="153">
        <f t="shared" si="13"/>
        <v>2320.5</v>
      </c>
      <c r="F38" s="153">
        <f t="shared" si="13"/>
        <v>1933.7500000000002</v>
      </c>
      <c r="G38" s="153">
        <f t="shared" si="13"/>
        <v>1547.0000000000002</v>
      </c>
      <c r="H38" s="153">
        <f t="shared" si="13"/>
        <v>1160.25</v>
      </c>
      <c r="I38" s="153">
        <f t="shared" si="13"/>
        <v>1160.25</v>
      </c>
      <c r="J38" s="153">
        <f t="shared" si="13"/>
        <v>773.50000000000011</v>
      </c>
      <c r="K38" s="153">
        <f t="shared" si="13"/>
        <v>3480.7500000000005</v>
      </c>
      <c r="L38" s="153">
        <f t="shared" si="13"/>
        <v>6188.0000000000009</v>
      </c>
      <c r="M38" s="153">
        <f t="shared" si="13"/>
        <v>7348.2500000000009</v>
      </c>
      <c r="N38" s="153">
        <f t="shared" si="13"/>
        <v>9668.75</v>
      </c>
      <c r="O38" s="153">
        <f t="shared" ref="O38" si="14">SUM(B38:M38)</f>
        <v>29006.25</v>
      </c>
    </row>
    <row r="39" spans="1:18" ht="15" thickTop="1" x14ac:dyDescent="0.35"/>
    <row r="40" spans="1:18" ht="15" thickBot="1" x14ac:dyDescent="0.4"/>
    <row r="41" spans="1:18" ht="15.5" thickTop="1" thickBot="1" x14ac:dyDescent="0.4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</row>
    <row r="42" spans="1:18" ht="15.5" thickTop="1" thickBot="1" x14ac:dyDescent="0.4"/>
    <row r="43" spans="1:18" ht="19" thickBot="1" x14ac:dyDescent="0.5">
      <c r="A43" s="322" t="s">
        <v>59</v>
      </c>
      <c r="B43" s="323"/>
      <c r="C43" s="324"/>
    </row>
    <row r="44" spans="1:18" x14ac:dyDescent="0.35">
      <c r="B44" s="35"/>
    </row>
    <row r="45" spans="1:18" x14ac:dyDescent="0.35">
      <c r="A45" s="372" t="s">
        <v>283</v>
      </c>
      <c r="B45" s="55">
        <v>0.375</v>
      </c>
      <c r="C45" s="325" t="s">
        <v>71</v>
      </c>
      <c r="D45" s="325"/>
      <c r="E45" s="325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</row>
    <row r="46" spans="1:18" x14ac:dyDescent="0.3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</row>
    <row r="47" spans="1:18" x14ac:dyDescent="0.35">
      <c r="A47" s="29"/>
      <c r="B47" s="29"/>
      <c r="C47" s="29"/>
      <c r="D47" s="21">
        <v>1</v>
      </c>
      <c r="E47" s="21">
        <v>2</v>
      </c>
      <c r="F47" s="21">
        <v>3</v>
      </c>
      <c r="G47" s="21">
        <v>4</v>
      </c>
      <c r="H47" s="21">
        <v>5</v>
      </c>
      <c r="I47" s="21">
        <v>6</v>
      </c>
      <c r="J47" s="21">
        <v>7</v>
      </c>
      <c r="K47" s="21">
        <v>8</v>
      </c>
      <c r="L47" s="21">
        <v>9</v>
      </c>
      <c r="M47" s="21">
        <v>10</v>
      </c>
      <c r="N47" s="21">
        <v>11</v>
      </c>
      <c r="O47" s="21">
        <v>12</v>
      </c>
      <c r="P47" s="21">
        <v>13</v>
      </c>
    </row>
    <row r="48" spans="1:18" x14ac:dyDescent="0.35">
      <c r="A48" s="29"/>
      <c r="B48" s="21" t="s">
        <v>69</v>
      </c>
      <c r="C48" s="38">
        <v>45682</v>
      </c>
      <c r="D48" s="54" t="s">
        <v>70</v>
      </c>
      <c r="E48" s="31">
        <v>45713</v>
      </c>
      <c r="F48" s="31">
        <v>45741</v>
      </c>
      <c r="G48" s="31">
        <v>45772</v>
      </c>
      <c r="H48" s="31">
        <v>45802</v>
      </c>
      <c r="I48" s="31">
        <v>45833</v>
      </c>
      <c r="J48" s="31">
        <v>45863</v>
      </c>
      <c r="K48" s="31">
        <v>45894</v>
      </c>
      <c r="L48" s="31">
        <v>45925</v>
      </c>
      <c r="M48" s="31">
        <v>45955</v>
      </c>
      <c r="N48" s="31">
        <v>45986</v>
      </c>
      <c r="O48" s="31">
        <v>46016</v>
      </c>
      <c r="P48" s="31">
        <v>46047</v>
      </c>
    </row>
    <row r="49" spans="1:16" x14ac:dyDescent="0.35">
      <c r="A49" s="373" t="s">
        <v>60</v>
      </c>
      <c r="B49" s="132">
        <v>0</v>
      </c>
      <c r="C49" s="132">
        <f>B36</f>
        <v>1170</v>
      </c>
      <c r="D49" s="133">
        <f>B36</f>
        <v>1170</v>
      </c>
      <c r="E49" s="133">
        <f t="shared" ref="E49:P49" si="15">C36</f>
        <v>22100.000000000004</v>
      </c>
      <c r="F49" s="133">
        <f t="shared" si="15"/>
        <v>15210</v>
      </c>
      <c r="G49" s="133">
        <f t="shared" si="15"/>
        <v>16250</v>
      </c>
      <c r="H49" s="133">
        <f t="shared" si="15"/>
        <v>5590.0000000000009</v>
      </c>
      <c r="I49" s="133">
        <f t="shared" si="15"/>
        <v>6240</v>
      </c>
      <c r="J49" s="133">
        <f t="shared" si="15"/>
        <v>15795</v>
      </c>
      <c r="K49" s="133">
        <f t="shared" si="15"/>
        <v>22490</v>
      </c>
      <c r="L49" s="133">
        <f t="shared" si="15"/>
        <v>36075</v>
      </c>
      <c r="M49" s="133">
        <f t="shared" si="15"/>
        <v>54340</v>
      </c>
      <c r="N49" s="133">
        <f t="shared" si="15"/>
        <v>70525</v>
      </c>
      <c r="O49" s="133">
        <f t="shared" si="15"/>
        <v>59215</v>
      </c>
      <c r="P49" s="133">
        <f t="shared" si="15"/>
        <v>11154.000000000002</v>
      </c>
    </row>
    <row r="50" spans="1:16" x14ac:dyDescent="0.35">
      <c r="A50" s="372" t="s">
        <v>61</v>
      </c>
      <c r="B50" s="115">
        <v>0</v>
      </c>
      <c r="C50" s="134">
        <f>B55</f>
        <v>2938.75</v>
      </c>
      <c r="D50" s="134">
        <f>B50</f>
        <v>0</v>
      </c>
      <c r="E50" s="134">
        <f>D55</f>
        <v>10787.500000000002</v>
      </c>
      <c r="F50" s="134">
        <f t="shared" ref="F50:P50" si="16">E55</f>
        <v>8203.7499999999982</v>
      </c>
      <c r="G50" s="134">
        <f t="shared" si="16"/>
        <v>8593.7499999999982</v>
      </c>
      <c r="H50" s="134">
        <f t="shared" si="16"/>
        <v>4596.2499999999982</v>
      </c>
      <c r="I50" s="134">
        <f t="shared" si="16"/>
        <v>4839.9999999999982</v>
      </c>
      <c r="J50" s="134">
        <f t="shared" si="16"/>
        <v>8423.1249999999982</v>
      </c>
      <c r="K50" s="134">
        <f t="shared" si="16"/>
        <v>10933.75</v>
      </c>
      <c r="L50" s="134">
        <f t="shared" si="16"/>
        <v>16028.125</v>
      </c>
      <c r="M50" s="134">
        <f t="shared" si="16"/>
        <v>24877.5</v>
      </c>
      <c r="N50" s="134">
        <f t="shared" si="16"/>
        <v>30946.875</v>
      </c>
      <c r="O50" s="134">
        <f t="shared" si="16"/>
        <v>26705.625</v>
      </c>
      <c r="P50" s="134">
        <f t="shared" si="16"/>
        <v>8682.75</v>
      </c>
    </row>
    <row r="51" spans="1:16" x14ac:dyDescent="0.35">
      <c r="A51" s="372" t="s">
        <v>74</v>
      </c>
      <c r="B51" s="134">
        <f>C49*$B$45</f>
        <v>438.75</v>
      </c>
      <c r="C51" s="135">
        <f>$B$45*E49</f>
        <v>8287.5000000000018</v>
      </c>
      <c r="D51" s="134">
        <f>B51+C51</f>
        <v>8726.2500000000018</v>
      </c>
      <c r="E51" s="134">
        <f t="shared" ref="E51:O51" si="17">F49*$B$45</f>
        <v>5703.75</v>
      </c>
      <c r="F51" s="134">
        <f t="shared" si="17"/>
        <v>6093.75</v>
      </c>
      <c r="G51" s="134">
        <f t="shared" si="17"/>
        <v>2096.2500000000005</v>
      </c>
      <c r="H51" s="134">
        <f t="shared" si="17"/>
        <v>2340</v>
      </c>
      <c r="I51" s="134">
        <f t="shared" si="17"/>
        <v>5923.125</v>
      </c>
      <c r="J51" s="134">
        <f t="shared" si="17"/>
        <v>8433.75</v>
      </c>
      <c r="K51" s="134">
        <f t="shared" si="17"/>
        <v>13528.125</v>
      </c>
      <c r="L51" s="134">
        <f t="shared" si="17"/>
        <v>20377.5</v>
      </c>
      <c r="M51" s="134">
        <f t="shared" si="17"/>
        <v>26446.875</v>
      </c>
      <c r="N51" s="134">
        <f t="shared" si="17"/>
        <v>22205.625</v>
      </c>
      <c r="O51" s="134">
        <f t="shared" si="17"/>
        <v>4182.7500000000009</v>
      </c>
      <c r="P51" s="136"/>
    </row>
    <row r="52" spans="1:16" x14ac:dyDescent="0.35">
      <c r="A52" s="372" t="s">
        <v>62</v>
      </c>
      <c r="B52" s="115">
        <v>2500</v>
      </c>
      <c r="C52" s="134">
        <v>0</v>
      </c>
      <c r="D52" s="137">
        <f>B52+C52</f>
        <v>2500</v>
      </c>
      <c r="E52" s="137">
        <v>0</v>
      </c>
      <c r="F52" s="137">
        <v>0</v>
      </c>
      <c r="G52" s="137">
        <v>0</v>
      </c>
      <c r="H52" s="137">
        <v>0</v>
      </c>
      <c r="I52" s="137">
        <v>0</v>
      </c>
      <c r="J52" s="137">
        <v>0</v>
      </c>
      <c r="K52" s="137">
        <v>0</v>
      </c>
      <c r="L52" s="115">
        <v>2000</v>
      </c>
      <c r="M52" s="115">
        <v>0</v>
      </c>
      <c r="N52" s="115">
        <v>0</v>
      </c>
      <c r="O52" s="115">
        <v>0</v>
      </c>
      <c r="P52" s="136"/>
    </row>
    <row r="53" spans="1:16" x14ac:dyDescent="0.35">
      <c r="A53" s="372" t="s">
        <v>63</v>
      </c>
      <c r="B53" s="134">
        <f>SUM(B51:B52)</f>
        <v>2938.75</v>
      </c>
      <c r="C53" s="134">
        <f>SUM(C51:C52)</f>
        <v>8287.5000000000018</v>
      </c>
      <c r="D53" s="134">
        <f t="shared" ref="D53:O53" si="18">SUM(D51:D52)</f>
        <v>11226.250000000002</v>
      </c>
      <c r="E53" s="134">
        <f t="shared" si="18"/>
        <v>5703.75</v>
      </c>
      <c r="F53" s="134">
        <f t="shared" si="18"/>
        <v>6093.75</v>
      </c>
      <c r="G53" s="134">
        <f t="shared" si="18"/>
        <v>2096.2500000000005</v>
      </c>
      <c r="H53" s="134">
        <f t="shared" si="18"/>
        <v>2340</v>
      </c>
      <c r="I53" s="134">
        <f t="shared" si="18"/>
        <v>5923.125</v>
      </c>
      <c r="J53" s="134">
        <f t="shared" si="18"/>
        <v>8433.75</v>
      </c>
      <c r="K53" s="134">
        <f t="shared" si="18"/>
        <v>13528.125</v>
      </c>
      <c r="L53" s="134">
        <f t="shared" si="18"/>
        <v>22377.5</v>
      </c>
      <c r="M53" s="134">
        <f t="shared" si="18"/>
        <v>26446.875</v>
      </c>
      <c r="N53" s="134">
        <f t="shared" si="18"/>
        <v>22205.625</v>
      </c>
      <c r="O53" s="134">
        <f t="shared" si="18"/>
        <v>4182.7500000000009</v>
      </c>
      <c r="P53" s="136"/>
    </row>
    <row r="54" spans="1:16" x14ac:dyDescent="0.35">
      <c r="A54" s="372" t="s">
        <v>64</v>
      </c>
      <c r="B54" s="134">
        <f>$B$45*B49</f>
        <v>0</v>
      </c>
      <c r="C54" s="134">
        <f t="shared" ref="C54:O54" si="19">$B$45*C49</f>
        <v>438.75</v>
      </c>
      <c r="D54" s="134">
        <f t="shared" si="19"/>
        <v>438.75</v>
      </c>
      <c r="E54" s="134">
        <f t="shared" si="19"/>
        <v>8287.5000000000018</v>
      </c>
      <c r="F54" s="134">
        <f t="shared" si="19"/>
        <v>5703.75</v>
      </c>
      <c r="G54" s="134">
        <f t="shared" si="19"/>
        <v>6093.75</v>
      </c>
      <c r="H54" s="134">
        <f t="shared" si="19"/>
        <v>2096.2500000000005</v>
      </c>
      <c r="I54" s="134">
        <f t="shared" si="19"/>
        <v>2340</v>
      </c>
      <c r="J54" s="134">
        <f t="shared" si="19"/>
        <v>5923.125</v>
      </c>
      <c r="K54" s="134">
        <f t="shared" si="19"/>
        <v>8433.75</v>
      </c>
      <c r="L54" s="134">
        <f t="shared" si="19"/>
        <v>13528.125</v>
      </c>
      <c r="M54" s="134">
        <f t="shared" si="19"/>
        <v>20377.5</v>
      </c>
      <c r="N54" s="134">
        <f t="shared" si="19"/>
        <v>26446.875</v>
      </c>
      <c r="O54" s="134">
        <f t="shared" si="19"/>
        <v>22205.625</v>
      </c>
      <c r="P54" s="136"/>
    </row>
    <row r="55" spans="1:16" x14ac:dyDescent="0.35">
      <c r="A55" s="367" t="s">
        <v>65</v>
      </c>
      <c r="B55" s="129">
        <f>B50+B53-B54</f>
        <v>2938.75</v>
      </c>
      <c r="C55" s="129">
        <f>C50+C53-C54</f>
        <v>10787.500000000002</v>
      </c>
      <c r="D55" s="129">
        <f t="shared" ref="D55:O55" si="20">D50+D53-D54</f>
        <v>10787.500000000002</v>
      </c>
      <c r="E55" s="129">
        <f t="shared" si="20"/>
        <v>8203.7499999999982</v>
      </c>
      <c r="F55" s="129">
        <f t="shared" si="20"/>
        <v>8593.7499999999982</v>
      </c>
      <c r="G55" s="129">
        <f t="shared" si="20"/>
        <v>4596.2499999999982</v>
      </c>
      <c r="H55" s="129">
        <f t="shared" si="20"/>
        <v>4839.9999999999982</v>
      </c>
      <c r="I55" s="129">
        <f t="shared" si="20"/>
        <v>8423.1249999999982</v>
      </c>
      <c r="J55" s="129">
        <f t="shared" si="20"/>
        <v>10933.75</v>
      </c>
      <c r="K55" s="129">
        <f t="shared" si="20"/>
        <v>16028.125</v>
      </c>
      <c r="L55" s="129">
        <f t="shared" si="20"/>
        <v>24877.5</v>
      </c>
      <c r="M55" s="129">
        <f t="shared" si="20"/>
        <v>30946.875</v>
      </c>
      <c r="N55" s="129">
        <f t="shared" si="20"/>
        <v>26705.625</v>
      </c>
      <c r="O55" s="129">
        <f t="shared" si="20"/>
        <v>8682.75</v>
      </c>
      <c r="P55" s="136"/>
    </row>
    <row r="56" spans="1:16" ht="15" thickBot="1" x14ac:dyDescent="0.4">
      <c r="B56" s="32"/>
    </row>
    <row r="57" spans="1:16" x14ac:dyDescent="0.35">
      <c r="A57" s="46" t="s">
        <v>66</v>
      </c>
      <c r="B57" s="47"/>
      <c r="C57" s="47"/>
      <c r="D57" s="47"/>
      <c r="E57" s="47"/>
      <c r="F57" s="47"/>
      <c r="G57" s="47"/>
      <c r="H57" s="47"/>
      <c r="I57" s="47"/>
      <c r="J57" s="48"/>
    </row>
    <row r="58" spans="1:16" x14ac:dyDescent="0.35">
      <c r="A58" s="326" t="s">
        <v>72</v>
      </c>
      <c r="B58" s="327"/>
      <c r="C58" s="327"/>
      <c r="D58" s="327"/>
      <c r="E58" s="327"/>
      <c r="F58" s="327"/>
      <c r="G58" s="327"/>
      <c r="H58" s="327"/>
      <c r="I58" s="327"/>
      <c r="J58" s="328"/>
    </row>
    <row r="59" spans="1:16" x14ac:dyDescent="0.35">
      <c r="A59" s="49" t="s">
        <v>67</v>
      </c>
      <c r="J59" s="50"/>
    </row>
    <row r="60" spans="1:16" x14ac:dyDescent="0.35">
      <c r="A60" s="326" t="s">
        <v>68</v>
      </c>
      <c r="B60" s="327"/>
      <c r="C60" s="327"/>
      <c r="D60" s="327"/>
      <c r="J60" s="50"/>
    </row>
    <row r="61" spans="1:16" x14ac:dyDescent="0.35">
      <c r="A61" s="49"/>
      <c r="J61" s="50"/>
    </row>
    <row r="62" spans="1:16" ht="15" thickBot="1" x14ac:dyDescent="0.4">
      <c r="A62" s="53"/>
      <c r="B62" s="51"/>
      <c r="C62" s="51"/>
      <c r="D62" s="51"/>
      <c r="E62" s="51"/>
      <c r="F62" s="51"/>
      <c r="G62" s="51"/>
      <c r="H62" s="51"/>
      <c r="I62" s="51"/>
      <c r="J62" s="52"/>
    </row>
  </sheetData>
  <mergeCells count="6">
    <mergeCell ref="A1:D1"/>
    <mergeCell ref="A43:C43"/>
    <mergeCell ref="C45:E45"/>
    <mergeCell ref="A58:J58"/>
    <mergeCell ref="A60:D60"/>
    <mergeCell ref="A3:B3"/>
  </mergeCells>
  <pageMargins left="0.38" right="0.25" top="0.75" bottom="0.75" header="0.3" footer="0.3"/>
  <pageSetup scale="51" orientation="landscape" r:id="rId1"/>
  <headerFooter>
    <oddFooter>&amp;LPrepared by: Miraj Sangani&amp;CSales Projections   &amp;R&amp;P</oddFooter>
  </headerFooter>
  <ignoredErrors>
    <ignoredError sqref="D50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E96F0-974D-4540-91CE-5C79100F6791}">
  <sheetPr>
    <tabColor rgb="FF0070C0"/>
  </sheetPr>
  <dimension ref="A1:E14"/>
  <sheetViews>
    <sheetView zoomScaleNormal="100" zoomScalePageLayoutView="55" workbookViewId="0">
      <selection sqref="A1:E1"/>
    </sheetView>
  </sheetViews>
  <sheetFormatPr defaultRowHeight="14.5" x14ac:dyDescent="0.35"/>
  <cols>
    <col min="1" max="1" width="29.54296875" bestFit="1" customWidth="1"/>
    <col min="2" max="2" width="8" bestFit="1" customWidth="1"/>
    <col min="3" max="3" width="13.36328125" bestFit="1" customWidth="1"/>
    <col min="4" max="4" width="9.453125" bestFit="1" customWidth="1"/>
    <col min="5" max="5" width="16.81640625" bestFit="1" customWidth="1"/>
  </cols>
  <sheetData>
    <row r="1" spans="1:5" ht="15" thickBot="1" x14ac:dyDescent="0.4">
      <c r="A1" s="329" t="s">
        <v>182</v>
      </c>
      <c r="B1" s="330"/>
      <c r="C1" s="330"/>
      <c r="D1" s="330"/>
      <c r="E1" s="331"/>
    </row>
    <row r="3" spans="1:5" ht="26.5" customHeight="1" x14ac:dyDescent="0.35">
      <c r="A3" s="102" t="s">
        <v>120</v>
      </c>
      <c r="B3" s="102" t="s">
        <v>121</v>
      </c>
      <c r="C3" s="102" t="s">
        <v>122</v>
      </c>
      <c r="D3" s="102" t="s">
        <v>123</v>
      </c>
      <c r="E3" s="102" t="s">
        <v>289</v>
      </c>
    </row>
    <row r="4" spans="1:5" x14ac:dyDescent="0.35">
      <c r="A4" s="105" t="s">
        <v>124</v>
      </c>
      <c r="B4" s="104">
        <v>6450</v>
      </c>
      <c r="C4" s="106">
        <v>2.5</v>
      </c>
      <c r="D4" s="104">
        <v>0</v>
      </c>
      <c r="E4" s="103">
        <f>SLN(B4,D4,C4)</f>
        <v>2580</v>
      </c>
    </row>
    <row r="5" spans="1:5" x14ac:dyDescent="0.35">
      <c r="A5" s="105" t="s">
        <v>125</v>
      </c>
      <c r="B5" s="104">
        <v>28250</v>
      </c>
      <c r="C5" s="106">
        <v>18</v>
      </c>
      <c r="D5" s="104">
        <v>0</v>
      </c>
      <c r="E5" s="103">
        <f t="shared" ref="E5:E7" si="0">SLN(B5,D5,C5)</f>
        <v>1569.4444444444443</v>
      </c>
    </row>
    <row r="6" spans="1:5" x14ac:dyDescent="0.35">
      <c r="A6" s="105" t="s">
        <v>126</v>
      </c>
      <c r="B6" s="104">
        <v>8500</v>
      </c>
      <c r="C6" s="106">
        <v>6</v>
      </c>
      <c r="D6" s="104">
        <v>0</v>
      </c>
      <c r="E6" s="103">
        <f t="shared" si="0"/>
        <v>1416.6666666666667</v>
      </c>
    </row>
    <row r="7" spans="1:5" x14ac:dyDescent="0.35">
      <c r="A7" s="105" t="s">
        <v>127</v>
      </c>
      <c r="B7" s="104">
        <v>12500</v>
      </c>
      <c r="C7" s="106">
        <v>4</v>
      </c>
      <c r="D7" s="104">
        <v>0</v>
      </c>
      <c r="E7" s="103">
        <f t="shared" si="0"/>
        <v>3125</v>
      </c>
    </row>
    <row r="8" spans="1:5" x14ac:dyDescent="0.35">
      <c r="A8" s="102" t="s">
        <v>128</v>
      </c>
      <c r="B8" s="103">
        <f>SUM(B4:B7)</f>
        <v>55700</v>
      </c>
      <c r="C8" s="83"/>
      <c r="D8" s="103">
        <f>SUM(D4:D7)</f>
        <v>0</v>
      </c>
      <c r="E8" s="103">
        <f>SUM(E4:E7)</f>
        <v>8691.1111111111113</v>
      </c>
    </row>
    <row r="11" spans="1:5" ht="18.5" x14ac:dyDescent="0.45">
      <c r="A11" s="84" t="s">
        <v>129</v>
      </c>
      <c r="B11" s="84"/>
      <c r="C11" s="84"/>
    </row>
    <row r="12" spans="1:5" x14ac:dyDescent="0.35">
      <c r="B12" s="85">
        <v>2025</v>
      </c>
    </row>
    <row r="13" spans="1:5" x14ac:dyDescent="0.35">
      <c r="A13" s="1" t="s">
        <v>130</v>
      </c>
      <c r="B13" s="101">
        <f>B8</f>
        <v>55700</v>
      </c>
    </row>
    <row r="14" spans="1:5" x14ac:dyDescent="0.35">
      <c r="A14" s="1" t="s">
        <v>131</v>
      </c>
      <c r="B14" s="101">
        <f>SUM(E4:E7)</f>
        <v>8691.1111111111113</v>
      </c>
    </row>
  </sheetData>
  <mergeCells count="1">
    <mergeCell ref="A1:E1"/>
  </mergeCells>
  <conditionalFormatting sqref="A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38" right="0.25" top="0.75" bottom="0.75" header="0.3" footer="0.3"/>
  <pageSetup orientation="landscape" r:id="rId1"/>
  <headerFooter>
    <oddFooter>&amp;LPrepared by: Miraj Sangani&amp;CAssets and Depreciation    &amp;R&amp;P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39A83-90AE-4415-91FB-1498E6E277B5}">
  <sheetPr>
    <tabColor theme="7" tint="0.39997558519241921"/>
    <pageSetUpPr fitToPage="1"/>
  </sheetPr>
  <dimension ref="A1:S25"/>
  <sheetViews>
    <sheetView zoomScaleNormal="100" zoomScalePageLayoutView="55" workbookViewId="0">
      <selection sqref="A1:G1"/>
    </sheetView>
  </sheetViews>
  <sheetFormatPr defaultRowHeight="14.5" x14ac:dyDescent="0.35"/>
  <cols>
    <col min="5" max="5" width="8.08984375" bestFit="1" customWidth="1"/>
    <col min="6" max="6" width="8.6328125" bestFit="1" customWidth="1"/>
    <col min="7" max="16" width="11.26953125" bestFit="1" customWidth="1"/>
    <col min="17" max="17" width="9.90625" bestFit="1" customWidth="1"/>
  </cols>
  <sheetData>
    <row r="1" spans="1:7" ht="15" thickBot="1" x14ac:dyDescent="0.4">
      <c r="A1" s="332" t="s">
        <v>181</v>
      </c>
      <c r="B1" s="333"/>
      <c r="C1" s="333"/>
      <c r="D1" s="333"/>
      <c r="E1" s="333"/>
      <c r="F1" s="333"/>
      <c r="G1" s="334"/>
    </row>
    <row r="3" spans="1:7" x14ac:dyDescent="0.35">
      <c r="A3" s="338" t="s">
        <v>101</v>
      </c>
      <c r="B3" s="336"/>
      <c r="C3" s="336"/>
      <c r="D3" s="336"/>
    </row>
    <row r="4" spans="1:7" ht="29" x14ac:dyDescent="0.35">
      <c r="A4" s="336" t="s">
        <v>102</v>
      </c>
      <c r="B4" s="336"/>
      <c r="C4" s="336"/>
      <c r="D4" s="336"/>
      <c r="E4" s="81">
        <v>3500</v>
      </c>
      <c r="F4" s="77" t="s">
        <v>119</v>
      </c>
    </row>
    <row r="5" spans="1:7" x14ac:dyDescent="0.35">
      <c r="A5" s="336" t="s">
        <v>103</v>
      </c>
      <c r="B5" s="336"/>
      <c r="C5" s="336"/>
      <c r="D5" s="336"/>
      <c r="E5" s="80">
        <v>0</v>
      </c>
    </row>
    <row r="6" spans="1:7" x14ac:dyDescent="0.35">
      <c r="A6" s="336" t="s">
        <v>104</v>
      </c>
      <c r="B6" s="336"/>
      <c r="C6" s="336"/>
      <c r="D6" s="336"/>
      <c r="E6" s="366">
        <v>0</v>
      </c>
    </row>
    <row r="7" spans="1:7" x14ac:dyDescent="0.35">
      <c r="A7" s="336" t="s">
        <v>105</v>
      </c>
      <c r="B7" s="336"/>
      <c r="C7" s="336"/>
      <c r="D7" s="336"/>
      <c r="E7" s="80">
        <v>0.5</v>
      </c>
    </row>
    <row r="8" spans="1:7" x14ac:dyDescent="0.35">
      <c r="A8" s="327"/>
      <c r="B8" s="327"/>
      <c r="C8" s="327"/>
      <c r="D8" s="327"/>
    </row>
    <row r="9" spans="1:7" x14ac:dyDescent="0.35">
      <c r="A9" s="338" t="s">
        <v>106</v>
      </c>
      <c r="B9" s="336"/>
      <c r="C9" s="336"/>
      <c r="D9" s="337"/>
      <c r="E9" s="75"/>
    </row>
    <row r="10" spans="1:7" x14ac:dyDescent="0.35">
      <c r="A10" s="336" t="s">
        <v>107</v>
      </c>
      <c r="B10" s="336"/>
      <c r="C10" s="336"/>
      <c r="D10" s="336"/>
      <c r="E10" s="74">
        <v>160</v>
      </c>
    </row>
    <row r="11" spans="1:7" x14ac:dyDescent="0.35">
      <c r="A11" s="336" t="s">
        <v>108</v>
      </c>
      <c r="B11" s="336"/>
      <c r="C11" s="336"/>
      <c r="D11" s="336"/>
      <c r="E11" s="79">
        <v>24.5</v>
      </c>
    </row>
    <row r="12" spans="1:7" x14ac:dyDescent="0.35">
      <c r="A12" s="336" t="s">
        <v>109</v>
      </c>
      <c r="B12" s="336"/>
      <c r="C12" s="336"/>
      <c r="D12" s="336"/>
      <c r="E12" s="76">
        <v>0.22</v>
      </c>
    </row>
    <row r="13" spans="1:7" x14ac:dyDescent="0.35">
      <c r="A13" s="327"/>
      <c r="B13" s="327"/>
      <c r="C13" s="327"/>
      <c r="D13" s="327"/>
    </row>
    <row r="14" spans="1:7" x14ac:dyDescent="0.35">
      <c r="A14" s="336" t="s">
        <v>110</v>
      </c>
      <c r="B14" s="336"/>
      <c r="C14" s="336"/>
      <c r="D14" s="336"/>
      <c r="E14" s="79">
        <v>18.5</v>
      </c>
    </row>
    <row r="15" spans="1:7" x14ac:dyDescent="0.35">
      <c r="A15" s="336" t="s">
        <v>111</v>
      </c>
      <c r="B15" s="336"/>
      <c r="C15" s="336"/>
      <c r="D15" s="336"/>
      <c r="E15" s="80">
        <v>0.18</v>
      </c>
    </row>
    <row r="16" spans="1:7" x14ac:dyDescent="0.35">
      <c r="A16" s="327"/>
      <c r="B16" s="327"/>
      <c r="C16" s="327"/>
      <c r="D16" s="327"/>
    </row>
    <row r="17" spans="1:19" x14ac:dyDescent="0.35">
      <c r="A17" s="327"/>
      <c r="B17" s="327"/>
      <c r="C17" s="327"/>
      <c r="D17" s="327"/>
      <c r="E17" s="68">
        <v>1</v>
      </c>
      <c r="F17" s="68">
        <v>2</v>
      </c>
      <c r="G17" s="68">
        <v>3</v>
      </c>
      <c r="H17" s="68">
        <v>4</v>
      </c>
      <c r="I17" s="68">
        <v>5</v>
      </c>
      <c r="J17" s="68">
        <v>6</v>
      </c>
      <c r="K17" s="68">
        <v>7</v>
      </c>
      <c r="L17" s="68">
        <v>8</v>
      </c>
      <c r="M17" s="68">
        <v>9</v>
      </c>
      <c r="N17" s="68">
        <v>10</v>
      </c>
      <c r="O17" s="68">
        <v>11</v>
      </c>
      <c r="P17" s="68">
        <v>12</v>
      </c>
    </row>
    <row r="18" spans="1:19" x14ac:dyDescent="0.35">
      <c r="A18" s="335" t="s">
        <v>112</v>
      </c>
      <c r="B18" s="327"/>
      <c r="C18" s="327"/>
      <c r="D18" s="327"/>
      <c r="E18" s="78">
        <v>45658</v>
      </c>
      <c r="F18" s="78">
        <v>45689</v>
      </c>
      <c r="G18" s="78">
        <v>45717</v>
      </c>
      <c r="H18" s="78">
        <v>45748</v>
      </c>
      <c r="I18" s="78">
        <v>45778</v>
      </c>
      <c r="J18" s="78">
        <v>45809</v>
      </c>
      <c r="K18" s="78">
        <v>45839</v>
      </c>
      <c r="L18" s="78">
        <v>45870</v>
      </c>
      <c r="M18" s="78">
        <v>45901</v>
      </c>
      <c r="N18" s="78">
        <v>45931</v>
      </c>
      <c r="O18" s="78">
        <v>45962</v>
      </c>
      <c r="P18" s="78">
        <v>45992</v>
      </c>
      <c r="Q18" s="102" t="s">
        <v>100</v>
      </c>
    </row>
    <row r="19" spans="1:19" x14ac:dyDescent="0.35">
      <c r="A19" s="336" t="s">
        <v>113</v>
      </c>
      <c r="B19" s="336"/>
      <c r="C19" s="336"/>
      <c r="D19" s="337"/>
      <c r="E19" s="82">
        <v>0</v>
      </c>
      <c r="F19" s="82">
        <v>0</v>
      </c>
      <c r="G19" s="82">
        <v>0</v>
      </c>
      <c r="H19" s="82">
        <v>12</v>
      </c>
      <c r="I19" s="82">
        <v>0</v>
      </c>
      <c r="J19" s="82">
        <v>0</v>
      </c>
      <c r="K19" s="82">
        <v>25</v>
      </c>
      <c r="L19" s="82">
        <v>50</v>
      </c>
      <c r="M19" s="82">
        <v>160</v>
      </c>
      <c r="N19" s="82">
        <v>200</v>
      </c>
      <c r="O19" s="82">
        <v>250</v>
      </c>
      <c r="P19" s="82">
        <v>140</v>
      </c>
      <c r="Q19" s="112">
        <f t="shared" ref="Q19:Q24" si="0">SUM(E19:P19)</f>
        <v>837</v>
      </c>
    </row>
    <row r="20" spans="1:19" x14ac:dyDescent="0.35">
      <c r="A20" s="336" t="s">
        <v>114</v>
      </c>
      <c r="B20" s="336"/>
      <c r="C20" s="336"/>
      <c r="D20" s="336"/>
      <c r="E20" s="127">
        <f>E19*$E$14</f>
        <v>0</v>
      </c>
      <c r="F20" s="127">
        <f t="shared" ref="F20:P20" si="1">F19*$E$14</f>
        <v>0</v>
      </c>
      <c r="G20" s="127">
        <f t="shared" si="1"/>
        <v>0</v>
      </c>
      <c r="H20" s="127">
        <f t="shared" si="1"/>
        <v>222</v>
      </c>
      <c r="I20" s="127">
        <f t="shared" si="1"/>
        <v>0</v>
      </c>
      <c r="J20" s="127">
        <f t="shared" si="1"/>
        <v>0</v>
      </c>
      <c r="K20" s="127">
        <f t="shared" si="1"/>
        <v>462.5</v>
      </c>
      <c r="L20" s="127">
        <f t="shared" si="1"/>
        <v>925</v>
      </c>
      <c r="M20" s="127">
        <f t="shared" si="1"/>
        <v>2960</v>
      </c>
      <c r="N20" s="127">
        <f t="shared" si="1"/>
        <v>3700</v>
      </c>
      <c r="O20" s="127">
        <f t="shared" si="1"/>
        <v>4625</v>
      </c>
      <c r="P20" s="127">
        <f t="shared" si="1"/>
        <v>2590</v>
      </c>
      <c r="Q20" s="128">
        <f t="shared" si="0"/>
        <v>15484.5</v>
      </c>
    </row>
    <row r="21" spans="1:19" x14ac:dyDescent="0.35">
      <c r="A21" s="336" t="s">
        <v>115</v>
      </c>
      <c r="B21" s="336"/>
      <c r="C21" s="336"/>
      <c r="D21" s="336"/>
      <c r="E21" s="129">
        <f>E20*$E$15</f>
        <v>0</v>
      </c>
      <c r="F21" s="129">
        <f t="shared" ref="F21:P21" si="2">F20*$E$15</f>
        <v>0</v>
      </c>
      <c r="G21" s="129">
        <f t="shared" si="2"/>
        <v>0</v>
      </c>
      <c r="H21" s="129">
        <f t="shared" si="2"/>
        <v>39.96</v>
      </c>
      <c r="I21" s="129">
        <f t="shared" si="2"/>
        <v>0</v>
      </c>
      <c r="J21" s="129">
        <f t="shared" si="2"/>
        <v>0</v>
      </c>
      <c r="K21" s="129">
        <f t="shared" si="2"/>
        <v>83.25</v>
      </c>
      <c r="L21" s="129">
        <f t="shared" si="2"/>
        <v>166.5</v>
      </c>
      <c r="M21" s="129">
        <f t="shared" si="2"/>
        <v>532.79999999999995</v>
      </c>
      <c r="N21" s="129">
        <f t="shared" si="2"/>
        <v>666</v>
      </c>
      <c r="O21" s="129">
        <f t="shared" si="2"/>
        <v>832.5</v>
      </c>
      <c r="P21" s="129">
        <f t="shared" si="2"/>
        <v>466.2</v>
      </c>
      <c r="Q21" s="128">
        <f t="shared" si="0"/>
        <v>2787.21</v>
      </c>
    </row>
    <row r="22" spans="1:19" x14ac:dyDescent="0.35">
      <c r="A22" s="336" t="s">
        <v>116</v>
      </c>
      <c r="B22" s="336"/>
      <c r="C22" s="336"/>
      <c r="D22" s="336"/>
      <c r="E22" s="129">
        <v>0</v>
      </c>
      <c r="F22" s="129">
        <v>0</v>
      </c>
      <c r="G22" s="129">
        <f>$E$11*$E$10</f>
        <v>3920</v>
      </c>
      <c r="H22" s="129">
        <f>$E$11*$E$10</f>
        <v>3920</v>
      </c>
      <c r="I22" s="129">
        <f t="shared" ref="I22:P22" si="3">$E$11*$E$10</f>
        <v>3920</v>
      </c>
      <c r="J22" s="129">
        <f t="shared" si="3"/>
        <v>3920</v>
      </c>
      <c r="K22" s="129">
        <f t="shared" si="3"/>
        <v>3920</v>
      </c>
      <c r="L22" s="129">
        <f t="shared" si="3"/>
        <v>3920</v>
      </c>
      <c r="M22" s="129">
        <f t="shared" si="3"/>
        <v>3920</v>
      </c>
      <c r="N22" s="129">
        <f t="shared" si="3"/>
        <v>3920</v>
      </c>
      <c r="O22" s="129">
        <f t="shared" si="3"/>
        <v>3920</v>
      </c>
      <c r="P22" s="129">
        <f t="shared" si="3"/>
        <v>3920</v>
      </c>
      <c r="Q22" s="128">
        <f t="shared" si="0"/>
        <v>39200</v>
      </c>
    </row>
    <row r="23" spans="1:19" x14ac:dyDescent="0.35">
      <c r="A23" s="336" t="s">
        <v>117</v>
      </c>
      <c r="B23" s="336"/>
      <c r="C23" s="336"/>
      <c r="D23" s="336"/>
      <c r="E23" s="129">
        <f>E22*$E$12</f>
        <v>0</v>
      </c>
      <c r="F23" s="129">
        <f t="shared" ref="F23:P23" si="4">F22*$E$12</f>
        <v>0</v>
      </c>
      <c r="G23" s="129">
        <f>G22*$E$12</f>
        <v>862.4</v>
      </c>
      <c r="H23" s="129">
        <f t="shared" si="4"/>
        <v>862.4</v>
      </c>
      <c r="I23" s="129">
        <f t="shared" si="4"/>
        <v>862.4</v>
      </c>
      <c r="J23" s="129">
        <f t="shared" si="4"/>
        <v>862.4</v>
      </c>
      <c r="K23" s="129">
        <f t="shared" si="4"/>
        <v>862.4</v>
      </c>
      <c r="L23" s="129">
        <f t="shared" si="4"/>
        <v>862.4</v>
      </c>
      <c r="M23" s="129">
        <f t="shared" si="4"/>
        <v>862.4</v>
      </c>
      <c r="N23" s="129">
        <f t="shared" si="4"/>
        <v>862.4</v>
      </c>
      <c r="O23" s="129">
        <f t="shared" si="4"/>
        <v>862.4</v>
      </c>
      <c r="P23" s="129">
        <f t="shared" si="4"/>
        <v>862.4</v>
      </c>
      <c r="Q23" s="128">
        <f t="shared" si="0"/>
        <v>8623.9999999999982</v>
      </c>
      <c r="S23" s="255">
        <f>SUM(E20:P23)</f>
        <v>66095.710000000006</v>
      </c>
    </row>
    <row r="24" spans="1:19" ht="15" thickBot="1" x14ac:dyDescent="0.4">
      <c r="A24" s="338" t="s">
        <v>118</v>
      </c>
      <c r="B24" s="338"/>
      <c r="C24" s="338"/>
      <c r="D24" s="338"/>
      <c r="E24" s="130">
        <f t="shared" ref="E24:P24" si="5">SUM(E20:E23)</f>
        <v>0</v>
      </c>
      <c r="F24" s="130">
        <f t="shared" si="5"/>
        <v>0</v>
      </c>
      <c r="G24" s="130">
        <f t="shared" si="5"/>
        <v>4782.3999999999996</v>
      </c>
      <c r="H24" s="130">
        <f t="shared" si="5"/>
        <v>5044.3599999999997</v>
      </c>
      <c r="I24" s="130">
        <f t="shared" si="5"/>
        <v>4782.3999999999996</v>
      </c>
      <c r="J24" s="130">
        <f t="shared" si="5"/>
        <v>4782.3999999999996</v>
      </c>
      <c r="K24" s="130">
        <f t="shared" si="5"/>
        <v>5328.15</v>
      </c>
      <c r="L24" s="130">
        <f t="shared" si="5"/>
        <v>5873.9</v>
      </c>
      <c r="M24" s="130">
        <f t="shared" si="5"/>
        <v>8275.2000000000007</v>
      </c>
      <c r="N24" s="130">
        <f t="shared" si="5"/>
        <v>9148.4</v>
      </c>
      <c r="O24" s="130">
        <f t="shared" si="5"/>
        <v>10239.9</v>
      </c>
      <c r="P24" s="130">
        <f t="shared" si="5"/>
        <v>7838.5999999999995</v>
      </c>
      <c r="Q24" s="131">
        <f t="shared" si="0"/>
        <v>66095.710000000006</v>
      </c>
    </row>
    <row r="25" spans="1:19" ht="15" thickTop="1" x14ac:dyDescent="0.35"/>
  </sheetData>
  <mergeCells count="23">
    <mergeCell ref="A23:D23"/>
    <mergeCell ref="A24:D24"/>
    <mergeCell ref="A6:D6"/>
    <mergeCell ref="A7:D7"/>
    <mergeCell ref="A20:D20"/>
    <mergeCell ref="A21:D21"/>
    <mergeCell ref="A22:D22"/>
    <mergeCell ref="A1:G1"/>
    <mergeCell ref="A18:D18"/>
    <mergeCell ref="A19:D19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3:D3"/>
    <mergeCell ref="A4:D4"/>
    <mergeCell ref="A5:D5"/>
  </mergeCells>
  <pageMargins left="0.38" right="0.25" top="0.75" bottom="0.75" header="0.3" footer="0.3"/>
  <pageSetup scale="75" orientation="landscape" r:id="rId1"/>
  <headerFooter>
    <oddFooter>&amp;LPrepared by: Miraj Sangani&amp;CHuman Resource Expenses      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266BA-C7EB-4B30-B77F-468C0522E84C}">
  <sheetPr>
    <tabColor theme="0" tint="-0.14999847407452621"/>
    <pageSetUpPr fitToPage="1"/>
  </sheetPr>
  <dimension ref="A1:P35"/>
  <sheetViews>
    <sheetView zoomScaleNormal="100" zoomScalePageLayoutView="55" workbookViewId="0">
      <selection sqref="A1:E1"/>
    </sheetView>
  </sheetViews>
  <sheetFormatPr defaultRowHeight="14.5" x14ac:dyDescent="0.35"/>
  <cols>
    <col min="1" max="1" width="28.08984375" bestFit="1" customWidth="1"/>
    <col min="2" max="2" width="9" bestFit="1" customWidth="1"/>
    <col min="3" max="13" width="9.08984375" bestFit="1" customWidth="1"/>
    <col min="14" max="14" width="7.81640625" bestFit="1" customWidth="1"/>
  </cols>
  <sheetData>
    <row r="1" spans="1:14" ht="15" thickBot="1" x14ac:dyDescent="0.4">
      <c r="A1" s="340" t="s">
        <v>136</v>
      </c>
      <c r="B1" s="341"/>
      <c r="C1" s="341"/>
      <c r="D1" s="341"/>
      <c r="E1" s="342"/>
    </row>
    <row r="3" spans="1:14" x14ac:dyDescent="0.35">
      <c r="A3" s="87" t="s">
        <v>137</v>
      </c>
      <c r="B3" s="166">
        <v>3.2500000000000001E-2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</row>
    <row r="4" spans="1:14" x14ac:dyDescent="0.35">
      <c r="A4" s="89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</row>
    <row r="5" spans="1:14" x14ac:dyDescent="0.35">
      <c r="A5" s="90" t="s">
        <v>138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</row>
    <row r="6" spans="1:14" x14ac:dyDescent="0.35">
      <c r="A6" s="87" t="s">
        <v>139</v>
      </c>
      <c r="B6" s="91">
        <v>7.2499999999999995E-2</v>
      </c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</row>
    <row r="7" spans="1:14" x14ac:dyDescent="0.35">
      <c r="A7" s="87" t="s">
        <v>290</v>
      </c>
      <c r="B7" s="92">
        <f>B6/12</f>
        <v>6.0416666666666665E-3</v>
      </c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</row>
    <row r="8" spans="1:14" x14ac:dyDescent="0.35">
      <c r="A8" s="87" t="s">
        <v>141</v>
      </c>
      <c r="B8" s="93">
        <v>100000</v>
      </c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</row>
    <row r="9" spans="1:14" x14ac:dyDescent="0.35">
      <c r="A9" s="89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</row>
    <row r="10" spans="1:14" x14ac:dyDescent="0.35">
      <c r="A10" s="90" t="s">
        <v>142</v>
      </c>
      <c r="B10" s="88">
        <v>1500</v>
      </c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</row>
    <row r="11" spans="1:14" x14ac:dyDescent="0.3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</row>
    <row r="12" spans="1:14" x14ac:dyDescent="0.35">
      <c r="A12" s="339" t="s">
        <v>143</v>
      </c>
      <c r="B12" s="33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</row>
    <row r="13" spans="1:14" x14ac:dyDescent="0.35">
      <c r="A13" s="87" t="s">
        <v>132</v>
      </c>
      <c r="B13" s="91">
        <v>3.5000000000000003E-2</v>
      </c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</row>
    <row r="14" spans="1:14" x14ac:dyDescent="0.35">
      <c r="A14" s="87" t="s">
        <v>140</v>
      </c>
      <c r="B14" s="92">
        <f>B13/12</f>
        <v>2.9166666666666668E-3</v>
      </c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</row>
    <row r="15" spans="1:14" x14ac:dyDescent="0.35">
      <c r="A15" s="87" t="s">
        <v>133</v>
      </c>
      <c r="B15" s="88">
        <v>18</v>
      </c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</row>
    <row r="16" spans="1:14" x14ac:dyDescent="0.35">
      <c r="A16" s="87" t="s">
        <v>144</v>
      </c>
      <c r="B16" s="93">
        <v>35000</v>
      </c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</row>
    <row r="17" spans="1:16" x14ac:dyDescent="0.35">
      <c r="A17" s="87" t="s">
        <v>145</v>
      </c>
      <c r="B17" s="93">
        <v>0</v>
      </c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</row>
    <row r="18" spans="1:16" x14ac:dyDescent="0.35">
      <c r="A18" s="87" t="s">
        <v>146</v>
      </c>
      <c r="B18" s="94">
        <f>-PMT(B14,B15,B16,B17,)</f>
        <v>1998.7663269342177</v>
      </c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</row>
    <row r="19" spans="1:16" x14ac:dyDescent="0.35">
      <c r="A19" s="89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</row>
    <row r="20" spans="1:16" x14ac:dyDescent="0.35">
      <c r="A20" s="95" t="s">
        <v>147</v>
      </c>
      <c r="B20" s="96">
        <v>1</v>
      </c>
      <c r="C20" s="96">
        <v>2</v>
      </c>
      <c r="D20" s="96">
        <v>3</v>
      </c>
      <c r="E20" s="96">
        <v>4</v>
      </c>
      <c r="F20" s="96">
        <v>5</v>
      </c>
      <c r="G20" s="96">
        <v>6</v>
      </c>
      <c r="H20" s="96">
        <v>7</v>
      </c>
      <c r="I20" s="96">
        <v>8</v>
      </c>
      <c r="J20" s="96">
        <v>9</v>
      </c>
      <c r="K20" s="96">
        <v>10</v>
      </c>
      <c r="L20" s="96">
        <v>11</v>
      </c>
      <c r="M20" s="96">
        <v>12</v>
      </c>
      <c r="N20" s="95" t="s">
        <v>100</v>
      </c>
    </row>
    <row r="21" spans="1:16" x14ac:dyDescent="0.35">
      <c r="A21" s="95" t="s">
        <v>148</v>
      </c>
      <c r="B21" s="97">
        <v>45658</v>
      </c>
      <c r="C21" s="97">
        <v>45689</v>
      </c>
      <c r="D21" s="97">
        <v>45717</v>
      </c>
      <c r="E21" s="97">
        <v>45748</v>
      </c>
      <c r="F21" s="97">
        <v>45778</v>
      </c>
      <c r="G21" s="97">
        <v>45809</v>
      </c>
      <c r="H21" s="97">
        <v>45839</v>
      </c>
      <c r="I21" s="97">
        <v>45870</v>
      </c>
      <c r="J21" s="97">
        <v>45901</v>
      </c>
      <c r="K21" s="97">
        <v>45931</v>
      </c>
      <c r="L21" s="97">
        <v>45962</v>
      </c>
      <c r="M21" s="97">
        <v>45992</v>
      </c>
      <c r="N21" s="95"/>
    </row>
    <row r="22" spans="1:16" x14ac:dyDescent="0.35">
      <c r="A22" s="87" t="s">
        <v>149</v>
      </c>
      <c r="B22" s="98"/>
      <c r="C22" s="87">
        <v>1</v>
      </c>
      <c r="D22" s="87">
        <v>2</v>
      </c>
      <c r="E22" s="87">
        <v>3</v>
      </c>
      <c r="F22" s="87">
        <v>4</v>
      </c>
      <c r="G22" s="87">
        <v>5</v>
      </c>
      <c r="H22" s="87">
        <v>6</v>
      </c>
      <c r="I22" s="87">
        <v>7</v>
      </c>
      <c r="J22" s="87">
        <v>8</v>
      </c>
      <c r="K22" s="87">
        <v>9</v>
      </c>
      <c r="L22" s="87">
        <v>10</v>
      </c>
      <c r="M22" s="87">
        <v>11</v>
      </c>
      <c r="N22" s="95"/>
    </row>
    <row r="23" spans="1:16" x14ac:dyDescent="0.35">
      <c r="A23" s="87" t="s">
        <v>135</v>
      </c>
      <c r="B23" s="107">
        <v>0</v>
      </c>
      <c r="C23" s="107">
        <f>B16</f>
        <v>35000</v>
      </c>
      <c r="D23" s="107">
        <f>C27</f>
        <v>33103.317006399113</v>
      </c>
      <c r="E23" s="107">
        <f t="shared" ref="E23:M23" si="0">D27</f>
        <v>31201.10202073356</v>
      </c>
      <c r="F23" s="107">
        <f t="shared" si="0"/>
        <v>29293.338908026482</v>
      </c>
      <c r="G23" s="107">
        <f t="shared" si="0"/>
        <v>27380.011486240677</v>
      </c>
      <c r="H23" s="107">
        <f t="shared" si="0"/>
        <v>25461.103526141327</v>
      </c>
      <c r="I23" s="107">
        <f t="shared" si="0"/>
        <v>23536.598751158355</v>
      </c>
      <c r="J23" s="107">
        <f t="shared" si="0"/>
        <v>21606.480837248349</v>
      </c>
      <c r="K23" s="107">
        <f t="shared" si="0"/>
        <v>19670.733412756108</v>
      </c>
      <c r="L23" s="107">
        <f t="shared" si="0"/>
        <v>17729.340058275764</v>
      </c>
      <c r="M23" s="107">
        <f t="shared" si="0"/>
        <v>15782.284306511518</v>
      </c>
      <c r="N23" s="95"/>
    </row>
    <row r="24" spans="1:16" x14ac:dyDescent="0.35">
      <c r="A24" s="87" t="s">
        <v>150</v>
      </c>
      <c r="B24" s="107">
        <v>0</v>
      </c>
      <c r="C24" s="107">
        <f>$B$18</f>
        <v>1998.7663269342177</v>
      </c>
      <c r="D24" s="107">
        <f t="shared" ref="D24:M24" si="1">$B$18</f>
        <v>1998.7663269342177</v>
      </c>
      <c r="E24" s="107">
        <f t="shared" si="1"/>
        <v>1998.7663269342177</v>
      </c>
      <c r="F24" s="107">
        <f t="shared" si="1"/>
        <v>1998.7663269342177</v>
      </c>
      <c r="G24" s="107">
        <f t="shared" si="1"/>
        <v>1998.7663269342177</v>
      </c>
      <c r="H24" s="107">
        <f t="shared" si="1"/>
        <v>1998.7663269342177</v>
      </c>
      <c r="I24" s="107">
        <f t="shared" si="1"/>
        <v>1998.7663269342177</v>
      </c>
      <c r="J24" s="107">
        <f t="shared" si="1"/>
        <v>1998.7663269342177</v>
      </c>
      <c r="K24" s="107">
        <f t="shared" si="1"/>
        <v>1998.7663269342177</v>
      </c>
      <c r="L24" s="107">
        <f t="shared" si="1"/>
        <v>1998.7663269342177</v>
      </c>
      <c r="M24" s="107">
        <f t="shared" si="1"/>
        <v>1998.7663269342177</v>
      </c>
      <c r="N24" s="113">
        <f>SUM(C24:M24)</f>
        <v>21986.429596276397</v>
      </c>
    </row>
    <row r="25" spans="1:16" x14ac:dyDescent="0.35">
      <c r="A25" s="87" t="s">
        <v>151</v>
      </c>
      <c r="B25" s="107">
        <v>0</v>
      </c>
      <c r="C25" s="107">
        <f>-IPMT($B$14,C22,$B$15,$B$16,$B$17)</f>
        <v>102.08333333333334</v>
      </c>
      <c r="D25" s="107">
        <f t="shared" ref="D25:M25" si="2">-IPMT($B$14,D22,$B$15,$B$16,$B$17)</f>
        <v>96.551341268664103</v>
      </c>
      <c r="E25" s="107">
        <f t="shared" si="2"/>
        <v>91.003214227139566</v>
      </c>
      <c r="F25" s="107">
        <f t="shared" si="2"/>
        <v>85.438905148410583</v>
      </c>
      <c r="G25" s="107">
        <f t="shared" si="2"/>
        <v>79.858366834868647</v>
      </c>
      <c r="H25" s="107">
        <f t="shared" si="2"/>
        <v>74.261551951245536</v>
      </c>
      <c r="I25" s="107">
        <f t="shared" si="2"/>
        <v>68.648413024211877</v>
      </c>
      <c r="J25" s="107">
        <f t="shared" si="2"/>
        <v>63.018902441974369</v>
      </c>
      <c r="K25" s="107">
        <f t="shared" si="2"/>
        <v>57.372972453871988</v>
      </c>
      <c r="L25" s="107">
        <f t="shared" si="2"/>
        <v>51.710575169970973</v>
      </c>
      <c r="M25" s="107">
        <f t="shared" si="2"/>
        <v>46.031662560658589</v>
      </c>
      <c r="N25" s="113">
        <f>SUM(C25:M25)</f>
        <v>815.97923841434954</v>
      </c>
    </row>
    <row r="26" spans="1:16" x14ac:dyDescent="0.35">
      <c r="A26" s="87" t="s">
        <v>152</v>
      </c>
      <c r="B26" s="107">
        <v>0</v>
      </c>
      <c r="C26" s="107">
        <f>-PPMT($B$14,C22,$B$15,$B$16,$B$17)</f>
        <v>1896.6829936008842</v>
      </c>
      <c r="D26" s="107">
        <f t="shared" ref="D26:M26" si="3">-PPMT($B$14,D22,$B$15,$B$16,$B$17)</f>
        <v>1902.2149856655537</v>
      </c>
      <c r="E26" s="107">
        <f t="shared" si="3"/>
        <v>1907.7631127070781</v>
      </c>
      <c r="F26" s="107">
        <f t="shared" si="3"/>
        <v>1913.327421785807</v>
      </c>
      <c r="G26" s="107">
        <f t="shared" si="3"/>
        <v>1918.9079600993489</v>
      </c>
      <c r="H26" s="107">
        <f t="shared" si="3"/>
        <v>1924.5047749829719</v>
      </c>
      <c r="I26" s="107">
        <f t="shared" si="3"/>
        <v>1930.1179139100057</v>
      </c>
      <c r="J26" s="107">
        <f t="shared" si="3"/>
        <v>1935.747424492243</v>
      </c>
      <c r="K26" s="107">
        <f t="shared" si="3"/>
        <v>1941.3933544803456</v>
      </c>
      <c r="L26" s="107">
        <f t="shared" si="3"/>
        <v>1947.0557517642462</v>
      </c>
      <c r="M26" s="107">
        <f t="shared" si="3"/>
        <v>1952.7346643735589</v>
      </c>
      <c r="N26" s="113">
        <f>SUM(C26:M26)</f>
        <v>21170.450357862039</v>
      </c>
    </row>
    <row r="27" spans="1:16" x14ac:dyDescent="0.35">
      <c r="A27" s="87" t="s">
        <v>134</v>
      </c>
      <c r="B27" s="107">
        <v>0</v>
      </c>
      <c r="C27" s="108">
        <f>C23-C26</f>
        <v>33103.317006399113</v>
      </c>
      <c r="D27" s="108">
        <f t="shared" ref="D27:M27" si="4">D23-D26</f>
        <v>31201.10202073356</v>
      </c>
      <c r="E27" s="108">
        <f t="shared" si="4"/>
        <v>29293.338908026482</v>
      </c>
      <c r="F27" s="108">
        <f t="shared" si="4"/>
        <v>27380.011486240677</v>
      </c>
      <c r="G27" s="108">
        <f t="shared" si="4"/>
        <v>25461.103526141327</v>
      </c>
      <c r="H27" s="108">
        <f t="shared" si="4"/>
        <v>23536.598751158355</v>
      </c>
      <c r="I27" s="108">
        <f t="shared" si="4"/>
        <v>21606.480837248349</v>
      </c>
      <c r="J27" s="108">
        <f t="shared" si="4"/>
        <v>19670.733412756108</v>
      </c>
      <c r="K27" s="108">
        <f t="shared" si="4"/>
        <v>17729.340058275764</v>
      </c>
      <c r="L27" s="108">
        <f t="shared" si="4"/>
        <v>15782.284306511518</v>
      </c>
      <c r="M27" s="108">
        <f t="shared" si="4"/>
        <v>13829.549642137959</v>
      </c>
      <c r="N27" s="95"/>
    </row>
    <row r="28" spans="1:16" x14ac:dyDescent="0.35">
      <c r="A28" s="89"/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89"/>
    </row>
    <row r="29" spans="1:16" x14ac:dyDescent="0.35">
      <c r="A29" s="95" t="s">
        <v>153</v>
      </c>
      <c r="B29" s="97">
        <v>46048</v>
      </c>
      <c r="C29" s="97">
        <v>46079</v>
      </c>
      <c r="D29" s="97">
        <v>46107</v>
      </c>
      <c r="E29" s="97">
        <v>46138</v>
      </c>
      <c r="F29" s="97">
        <v>46168</v>
      </c>
      <c r="G29" s="97">
        <v>46199</v>
      </c>
      <c r="H29" s="97">
        <v>46229</v>
      </c>
      <c r="I29" s="97">
        <v>46260</v>
      </c>
      <c r="J29" s="97">
        <v>46291</v>
      </c>
      <c r="K29" s="97">
        <v>46321</v>
      </c>
      <c r="L29" s="97">
        <v>46352</v>
      </c>
      <c r="M29" s="97">
        <v>46382</v>
      </c>
      <c r="N29" s="95" t="s">
        <v>100</v>
      </c>
    </row>
    <row r="30" spans="1:16" x14ac:dyDescent="0.35">
      <c r="A30" s="87" t="s">
        <v>149</v>
      </c>
      <c r="B30" s="100">
        <v>12</v>
      </c>
      <c r="C30" s="100">
        <v>13</v>
      </c>
      <c r="D30" s="100">
        <v>14</v>
      </c>
      <c r="E30" s="100">
        <v>15</v>
      </c>
      <c r="F30" s="100">
        <v>16</v>
      </c>
      <c r="G30" s="100">
        <v>17</v>
      </c>
      <c r="H30" s="100">
        <v>18</v>
      </c>
      <c r="I30" s="100">
        <v>19</v>
      </c>
      <c r="J30" s="100">
        <v>20</v>
      </c>
      <c r="K30" s="100">
        <v>21</v>
      </c>
      <c r="L30" s="100">
        <v>22</v>
      </c>
      <c r="M30" s="100">
        <v>23</v>
      </c>
      <c r="N30" s="95"/>
    </row>
    <row r="31" spans="1:16" x14ac:dyDescent="0.35">
      <c r="A31" s="87" t="s">
        <v>135</v>
      </c>
      <c r="B31" s="109">
        <f>M27</f>
        <v>13829.549642137959</v>
      </c>
      <c r="C31" s="107">
        <f>B35</f>
        <v>11871.119501659978</v>
      </c>
      <c r="D31" s="107">
        <f t="shared" ref="D31:I31" si="5">C35</f>
        <v>9906.9772732722686</v>
      </c>
      <c r="E31" s="107">
        <f t="shared" si="5"/>
        <v>7937.1062967184289</v>
      </c>
      <c r="F31" s="107">
        <f t="shared" si="5"/>
        <v>5961.4898631496399</v>
      </c>
      <c r="G31" s="107">
        <f t="shared" si="5"/>
        <v>3980.1112149829419</v>
      </c>
      <c r="H31" s="107">
        <f t="shared" si="5"/>
        <v>1992.9535457590912</v>
      </c>
      <c r="I31" s="107">
        <f t="shared" si="5"/>
        <v>4.3200998334214091E-12</v>
      </c>
      <c r="J31" s="107">
        <f t="shared" ref="J31:M31" si="6">I35</f>
        <v>0</v>
      </c>
      <c r="K31" s="107">
        <f t="shared" si="6"/>
        <v>0</v>
      </c>
      <c r="L31" s="107">
        <f t="shared" si="6"/>
        <v>0</v>
      </c>
      <c r="M31" s="107">
        <f t="shared" si="6"/>
        <v>0</v>
      </c>
      <c r="N31" s="151"/>
    </row>
    <row r="32" spans="1:16" x14ac:dyDescent="0.35">
      <c r="A32" s="87" t="s">
        <v>150</v>
      </c>
      <c r="B32" s="110">
        <f>$B$18</f>
        <v>1998.7663269342177</v>
      </c>
      <c r="C32" s="107">
        <f t="shared" ref="C32:H32" si="7">$B$18</f>
        <v>1998.7663269342177</v>
      </c>
      <c r="D32" s="107">
        <f t="shared" si="7"/>
        <v>1998.7663269342177</v>
      </c>
      <c r="E32" s="107">
        <f t="shared" si="7"/>
        <v>1998.7663269342177</v>
      </c>
      <c r="F32" s="107">
        <f t="shared" si="7"/>
        <v>1998.7663269342177</v>
      </c>
      <c r="G32" s="107">
        <f t="shared" si="7"/>
        <v>1998.7663269342177</v>
      </c>
      <c r="H32" s="107">
        <f t="shared" si="7"/>
        <v>1998.7663269342177</v>
      </c>
      <c r="I32" s="107">
        <f t="shared" ref="I32:M32" si="8">H36</f>
        <v>0</v>
      </c>
      <c r="J32" s="107">
        <f t="shared" si="8"/>
        <v>0</v>
      </c>
      <c r="K32" s="107">
        <f t="shared" si="8"/>
        <v>0</v>
      </c>
      <c r="L32" s="107">
        <f t="shared" si="8"/>
        <v>0</v>
      </c>
      <c r="M32" s="107">
        <f t="shared" si="8"/>
        <v>0</v>
      </c>
      <c r="N32" s="152">
        <f>SUM(B32:M32)</f>
        <v>13991.364288539524</v>
      </c>
      <c r="P32" s="86"/>
    </row>
    <row r="33" spans="1:16" x14ac:dyDescent="0.35">
      <c r="A33" s="87" t="s">
        <v>151</v>
      </c>
      <c r="B33" s="109">
        <f>-IPMT($B$14,B30,$B$15,$B$16,$B$17)</f>
        <v>40.336186456235716</v>
      </c>
      <c r="C33" s="107">
        <f t="shared" ref="C33:H33" si="9">-IPMT($B$14,C30,$B$15,$B$16,$B$17)</f>
        <v>34.624098546508264</v>
      </c>
      <c r="D33" s="107">
        <f t="shared" si="9"/>
        <v>28.89535038037744</v>
      </c>
      <c r="E33" s="107">
        <f t="shared" si="9"/>
        <v>23.149893365428738</v>
      </c>
      <c r="F33" s="107">
        <f t="shared" si="9"/>
        <v>17.387678767519773</v>
      </c>
      <c r="G33" s="107">
        <f t="shared" si="9"/>
        <v>11.608657710366906</v>
      </c>
      <c r="H33" s="107">
        <f t="shared" si="9"/>
        <v>5.8127811751306702</v>
      </c>
      <c r="I33" s="107">
        <f t="shared" ref="I33:M33" si="10">H37</f>
        <v>0</v>
      </c>
      <c r="J33" s="107">
        <f t="shared" si="10"/>
        <v>0</v>
      </c>
      <c r="K33" s="107">
        <f t="shared" si="10"/>
        <v>0</v>
      </c>
      <c r="L33" s="107">
        <f t="shared" si="10"/>
        <v>0</v>
      </c>
      <c r="M33" s="107">
        <f t="shared" si="10"/>
        <v>0</v>
      </c>
      <c r="N33" s="152">
        <f>SUM(B33:M33)</f>
        <v>161.81464640156753</v>
      </c>
      <c r="P33" s="86"/>
    </row>
    <row r="34" spans="1:16" x14ac:dyDescent="0.35">
      <c r="A34" s="87" t="s">
        <v>152</v>
      </c>
      <c r="B34" s="109">
        <f>-PPMT($B$14,B30,$B$15,$B$16,$B$17)</f>
        <v>1958.4301404779819</v>
      </c>
      <c r="C34" s="107">
        <f t="shared" ref="C34:H34" si="11">-PPMT($B$14,C30,$B$15,$B$16,$B$17)</f>
        <v>1964.1422283877093</v>
      </c>
      <c r="D34" s="107">
        <f t="shared" si="11"/>
        <v>1969.8709765538399</v>
      </c>
      <c r="E34" s="107">
        <f t="shared" si="11"/>
        <v>1975.616433568789</v>
      </c>
      <c r="F34" s="107">
        <f t="shared" si="11"/>
        <v>1981.378648166698</v>
      </c>
      <c r="G34" s="107">
        <f t="shared" si="11"/>
        <v>1987.1576692238507</v>
      </c>
      <c r="H34" s="107">
        <f t="shared" si="11"/>
        <v>1992.9535457590869</v>
      </c>
      <c r="I34" s="107">
        <f t="shared" ref="I34:M34" si="12">H38</f>
        <v>0</v>
      </c>
      <c r="J34" s="107">
        <f t="shared" si="12"/>
        <v>0</v>
      </c>
      <c r="K34" s="107">
        <f t="shared" si="12"/>
        <v>0</v>
      </c>
      <c r="L34" s="107">
        <f t="shared" si="12"/>
        <v>0</v>
      </c>
      <c r="M34" s="107">
        <f t="shared" si="12"/>
        <v>0</v>
      </c>
      <c r="N34" s="152">
        <f>SUM(B34:M34)</f>
        <v>13829.549642137956</v>
      </c>
      <c r="P34" s="86"/>
    </row>
    <row r="35" spans="1:16" x14ac:dyDescent="0.35">
      <c r="A35" s="87" t="s">
        <v>134</v>
      </c>
      <c r="B35" s="109">
        <f>B31-B34</f>
        <v>11871.119501659978</v>
      </c>
      <c r="C35" s="107">
        <f t="shared" ref="C35:H35" si="13">C31-C34</f>
        <v>9906.9772732722686</v>
      </c>
      <c r="D35" s="107">
        <f t="shared" si="13"/>
        <v>7937.1062967184289</v>
      </c>
      <c r="E35" s="107">
        <f t="shared" si="13"/>
        <v>5961.4898631496399</v>
      </c>
      <c r="F35" s="107">
        <f t="shared" si="13"/>
        <v>3980.1112149829419</v>
      </c>
      <c r="G35" s="107">
        <f t="shared" si="13"/>
        <v>1992.9535457590912</v>
      </c>
      <c r="H35" s="111">
        <f t="shared" si="13"/>
        <v>4.3200998334214091E-12</v>
      </c>
      <c r="I35" s="107">
        <f t="shared" ref="I35:M35" si="14">H39</f>
        <v>0</v>
      </c>
      <c r="J35" s="107">
        <f t="shared" si="14"/>
        <v>0</v>
      </c>
      <c r="K35" s="107">
        <f t="shared" si="14"/>
        <v>0</v>
      </c>
      <c r="L35" s="107">
        <f t="shared" si="14"/>
        <v>0</v>
      </c>
      <c r="M35" s="107">
        <f t="shared" si="14"/>
        <v>0</v>
      </c>
      <c r="N35" s="151"/>
    </row>
  </sheetData>
  <mergeCells count="2">
    <mergeCell ref="A12:B12"/>
    <mergeCell ref="A1:E1"/>
  </mergeCells>
  <pageMargins left="0.38" right="0.25" top="0.75" bottom="0.75" header="0.3" footer="0.3"/>
  <pageSetup scale="91" orientation="landscape" r:id="rId1"/>
  <headerFooter>
    <oddFooter>&amp;LPrepared by: Miraj Sangani&amp;CFinancing     &amp;R&amp;P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09FF6-0A21-4A13-A4E7-2970D55505C7}">
  <sheetPr>
    <tabColor theme="7" tint="0.39997558519241921"/>
    <pageSetUpPr fitToPage="1"/>
  </sheetPr>
  <dimension ref="A1:R37"/>
  <sheetViews>
    <sheetView zoomScaleNormal="100" zoomScalePageLayoutView="55" workbookViewId="0">
      <selection sqref="A1:G1"/>
    </sheetView>
  </sheetViews>
  <sheetFormatPr defaultRowHeight="14.5" x14ac:dyDescent="0.35"/>
  <cols>
    <col min="5" max="5" width="12" customWidth="1"/>
    <col min="6" max="6" width="9.81640625" bestFit="1" customWidth="1"/>
    <col min="7" max="10" width="12" bestFit="1" customWidth="1"/>
    <col min="11" max="14" width="9.6328125" bestFit="1" customWidth="1"/>
    <col min="15" max="15" width="9.7265625" bestFit="1" customWidth="1"/>
    <col min="16" max="17" width="9.6328125" bestFit="1" customWidth="1"/>
    <col min="18" max="18" width="11.26953125" bestFit="1" customWidth="1"/>
  </cols>
  <sheetData>
    <row r="1" spans="1:18" ht="14.5" customHeight="1" thickBot="1" x14ac:dyDescent="0.4">
      <c r="A1" s="345" t="s">
        <v>185</v>
      </c>
      <c r="B1" s="346"/>
      <c r="C1" s="346"/>
      <c r="D1" s="346"/>
      <c r="E1" s="346"/>
      <c r="F1" s="346"/>
      <c r="G1" s="347"/>
      <c r="H1" s="57"/>
    </row>
    <row r="2" spans="1:18" ht="15" customHeight="1" thickBot="1" x14ac:dyDescent="0.4">
      <c r="A2" s="57"/>
      <c r="B2" s="57"/>
      <c r="C2" s="57"/>
      <c r="D2" s="57"/>
      <c r="E2" s="57"/>
      <c r="F2" s="57"/>
      <c r="G2" s="57"/>
      <c r="H2" s="57"/>
    </row>
    <row r="3" spans="1:18" ht="15.5" thickTop="1" thickBot="1" x14ac:dyDescent="0.4">
      <c r="A3" s="375" t="s">
        <v>291</v>
      </c>
      <c r="B3" s="376"/>
      <c r="C3" s="376"/>
      <c r="D3" s="376"/>
      <c r="E3" s="377"/>
      <c r="F3" s="361">
        <v>325</v>
      </c>
      <c r="G3" s="58" t="s">
        <v>75</v>
      </c>
      <c r="H3" s="58"/>
      <c r="I3" s="59"/>
      <c r="J3" s="59"/>
      <c r="K3" s="59"/>
      <c r="L3" s="59"/>
      <c r="M3" s="59"/>
      <c r="N3" s="59"/>
      <c r="O3" s="59"/>
      <c r="P3" s="59"/>
      <c r="Q3" s="59"/>
      <c r="R3" s="59"/>
    </row>
    <row r="4" spans="1:18" ht="16.5" thickTop="1" thickBot="1" x14ac:dyDescent="0.4">
      <c r="A4" s="344"/>
      <c r="B4" s="344"/>
      <c r="C4" s="344"/>
      <c r="D4" s="344"/>
      <c r="E4" s="344"/>
      <c r="F4" s="60"/>
      <c r="G4" s="58"/>
      <c r="H4" s="58"/>
      <c r="I4" s="59"/>
      <c r="J4" s="59"/>
      <c r="K4" s="59"/>
      <c r="L4" s="59"/>
      <c r="M4" s="59"/>
      <c r="N4" s="59"/>
      <c r="O4" s="59"/>
      <c r="P4" s="59"/>
      <c r="Q4" s="59"/>
      <c r="R4" s="59"/>
    </row>
    <row r="5" spans="1:18" ht="15.5" thickTop="1" thickBot="1" x14ac:dyDescent="0.4">
      <c r="A5" s="378" t="s">
        <v>248</v>
      </c>
      <c r="B5" s="378"/>
      <c r="C5" s="378"/>
      <c r="D5" s="378"/>
      <c r="E5" s="378"/>
      <c r="F5" s="60"/>
      <c r="G5" s="58"/>
      <c r="H5" s="58"/>
      <c r="I5" s="59"/>
      <c r="J5" s="59"/>
      <c r="K5" s="59"/>
      <c r="L5" s="59"/>
      <c r="M5" s="59"/>
      <c r="N5" s="59"/>
      <c r="O5" s="59"/>
      <c r="P5" s="59"/>
      <c r="Q5" s="59"/>
      <c r="R5" s="59"/>
    </row>
    <row r="6" spans="1:18" ht="15" thickTop="1" x14ac:dyDescent="0.35">
      <c r="A6" s="379" t="s">
        <v>76</v>
      </c>
      <c r="B6" s="379"/>
      <c r="C6" s="379"/>
      <c r="D6" s="379"/>
      <c r="E6" s="379"/>
      <c r="F6" s="65">
        <v>200</v>
      </c>
      <c r="G6" s="62" t="s">
        <v>75</v>
      </c>
      <c r="H6" s="62"/>
      <c r="I6" s="29"/>
      <c r="J6" s="29"/>
      <c r="K6" s="29"/>
      <c r="L6" s="29"/>
      <c r="M6" s="29"/>
      <c r="N6" s="29"/>
      <c r="O6" s="29"/>
      <c r="P6" s="29"/>
      <c r="Q6" s="29"/>
      <c r="R6" s="29"/>
    </row>
    <row r="7" spans="1:18" ht="15" thickBot="1" x14ac:dyDescent="0.4">
      <c r="A7" s="380" t="s">
        <v>77</v>
      </c>
      <c r="B7" s="380"/>
      <c r="C7" s="380"/>
      <c r="D7" s="380"/>
      <c r="E7" s="380"/>
      <c r="F7" s="67">
        <v>150</v>
      </c>
      <c r="G7" s="62" t="s">
        <v>75</v>
      </c>
      <c r="H7" s="62"/>
      <c r="I7" s="29"/>
      <c r="J7" s="29"/>
      <c r="K7" s="29"/>
      <c r="L7" s="29"/>
      <c r="M7" s="29"/>
      <c r="N7" s="29"/>
      <c r="O7" s="29"/>
      <c r="P7" s="29"/>
      <c r="Q7" s="29"/>
      <c r="R7" s="29"/>
    </row>
    <row r="8" spans="1:18" ht="15" thickBot="1" x14ac:dyDescent="0.4">
      <c r="A8" s="381" t="s">
        <v>292</v>
      </c>
      <c r="B8" s="382"/>
      <c r="C8" s="382"/>
      <c r="D8" s="382"/>
      <c r="E8" s="383"/>
      <c r="F8" s="70">
        <f>F6+F7</f>
        <v>350</v>
      </c>
      <c r="G8" s="62" t="s">
        <v>75</v>
      </c>
      <c r="H8" s="62"/>
      <c r="I8" s="29"/>
      <c r="J8" s="29"/>
      <c r="K8" s="29"/>
      <c r="L8" s="29"/>
      <c r="M8" s="29"/>
      <c r="N8" s="29"/>
      <c r="O8" s="29"/>
      <c r="P8" s="29"/>
      <c r="Q8" s="29"/>
      <c r="R8" s="29"/>
    </row>
    <row r="9" spans="1:18" ht="16" thickBot="1" x14ac:dyDescent="0.4">
      <c r="A9" s="348"/>
      <c r="B9" s="348"/>
      <c r="C9" s="348"/>
      <c r="D9" s="348"/>
      <c r="E9" s="348"/>
      <c r="F9" s="64"/>
      <c r="G9" s="62"/>
      <c r="H9" s="62"/>
      <c r="I9" s="29"/>
      <c r="J9" s="29"/>
      <c r="K9" s="29"/>
      <c r="L9" s="29"/>
      <c r="M9" s="29"/>
      <c r="N9" s="29"/>
      <c r="O9" s="29"/>
      <c r="P9" s="29"/>
      <c r="Q9" s="29"/>
      <c r="R9" s="29"/>
    </row>
    <row r="10" spans="1:18" ht="15.5" thickTop="1" thickBot="1" x14ac:dyDescent="0.4">
      <c r="A10" s="378" t="s">
        <v>78</v>
      </c>
      <c r="B10" s="378"/>
      <c r="C10" s="378"/>
      <c r="D10" s="378"/>
      <c r="E10" s="378"/>
      <c r="F10" s="63"/>
      <c r="G10" s="62"/>
      <c r="H10" s="62"/>
      <c r="I10" s="29"/>
      <c r="J10" s="29"/>
      <c r="K10" s="29"/>
      <c r="L10" s="29"/>
      <c r="M10" s="29"/>
      <c r="N10" s="29"/>
      <c r="O10" s="29"/>
      <c r="P10" s="29"/>
      <c r="Q10" s="29"/>
      <c r="R10" s="29"/>
    </row>
    <row r="11" spans="1:18" ht="15" thickTop="1" x14ac:dyDescent="0.35">
      <c r="A11" s="379" t="s">
        <v>79</v>
      </c>
      <c r="B11" s="379"/>
      <c r="C11" s="379"/>
      <c r="D11" s="379"/>
      <c r="E11" s="379"/>
      <c r="F11" s="66">
        <v>425</v>
      </c>
      <c r="G11" s="62"/>
      <c r="H11" s="62"/>
      <c r="I11" s="29"/>
      <c r="J11" s="29"/>
      <c r="K11" s="29"/>
      <c r="L11" s="29"/>
      <c r="M11" s="29"/>
      <c r="N11" s="29"/>
      <c r="O11" s="29"/>
      <c r="P11" s="29"/>
      <c r="Q11" s="29"/>
      <c r="R11" s="29"/>
    </row>
    <row r="12" spans="1:18" x14ac:dyDescent="0.35">
      <c r="A12" s="384" t="s">
        <v>80</v>
      </c>
      <c r="B12" s="384"/>
      <c r="C12" s="384"/>
      <c r="D12" s="384"/>
      <c r="E12" s="384"/>
      <c r="F12" s="65">
        <v>21.75</v>
      </c>
      <c r="G12" s="62"/>
      <c r="H12" s="62"/>
      <c r="I12" s="29"/>
      <c r="J12" s="29"/>
      <c r="K12" s="29"/>
      <c r="L12" s="29"/>
      <c r="M12" s="29"/>
      <c r="N12" s="29"/>
      <c r="O12" s="29"/>
      <c r="P12" s="29"/>
      <c r="Q12" s="29"/>
      <c r="R12" s="29"/>
    </row>
    <row r="13" spans="1:18" ht="15" thickBot="1" x14ac:dyDescent="0.4">
      <c r="A13" s="380" t="s">
        <v>81</v>
      </c>
      <c r="B13" s="380"/>
      <c r="C13" s="380"/>
      <c r="D13" s="380"/>
      <c r="E13" s="380"/>
      <c r="F13" s="67">
        <v>2.5</v>
      </c>
      <c r="G13" s="62"/>
      <c r="H13" s="62"/>
      <c r="I13" s="29"/>
      <c r="J13" s="29"/>
      <c r="K13" s="29"/>
      <c r="L13" s="29"/>
      <c r="M13" s="29"/>
      <c r="N13" s="29"/>
      <c r="O13" s="29"/>
      <c r="P13" s="29"/>
      <c r="Q13" s="29"/>
      <c r="R13" s="29"/>
    </row>
    <row r="14" spans="1:18" ht="15" thickBot="1" x14ac:dyDescent="0.4">
      <c r="A14" s="385" t="s">
        <v>82</v>
      </c>
      <c r="B14" s="386"/>
      <c r="C14" s="386"/>
      <c r="D14" s="386"/>
      <c r="E14" s="386"/>
      <c r="F14" s="72">
        <f>(F11*F12)+(F11*F13)</f>
        <v>10306.25</v>
      </c>
      <c r="G14" s="62" t="s">
        <v>83</v>
      </c>
      <c r="H14" s="62"/>
      <c r="I14" s="29"/>
      <c r="J14" s="29"/>
      <c r="K14" s="29"/>
      <c r="L14" s="29"/>
      <c r="M14" s="29"/>
      <c r="N14" s="29"/>
      <c r="O14" s="29"/>
      <c r="P14" s="29"/>
      <c r="Q14" s="29"/>
      <c r="R14" s="29"/>
    </row>
    <row r="15" spans="1:18" ht="15" thickBot="1" x14ac:dyDescent="0.4">
      <c r="A15" s="387" t="s">
        <v>84</v>
      </c>
      <c r="B15" s="388"/>
      <c r="C15" s="388"/>
      <c r="D15" s="388"/>
      <c r="E15" s="388"/>
      <c r="F15" s="73">
        <f>F14/12</f>
        <v>858.85416666666663</v>
      </c>
      <c r="G15" s="62" t="s">
        <v>75</v>
      </c>
      <c r="H15" s="62"/>
      <c r="I15" s="29"/>
      <c r="J15" s="29"/>
      <c r="K15" s="29"/>
      <c r="L15" s="29"/>
      <c r="M15" s="29"/>
      <c r="N15" s="29"/>
      <c r="O15" s="29"/>
      <c r="P15" s="29"/>
      <c r="Q15" s="29"/>
      <c r="R15" s="29"/>
    </row>
    <row r="16" spans="1:18" ht="15.5" x14ac:dyDescent="0.35">
      <c r="A16" s="344"/>
      <c r="B16" s="344"/>
      <c r="C16" s="344"/>
      <c r="D16" s="344"/>
      <c r="E16" s="344"/>
      <c r="F16" s="71"/>
      <c r="G16" s="62"/>
      <c r="H16" s="62"/>
      <c r="I16" s="29"/>
      <c r="J16" s="29"/>
      <c r="K16" s="29"/>
      <c r="L16" s="29"/>
      <c r="M16" s="29"/>
      <c r="N16" s="29"/>
      <c r="O16" s="29"/>
      <c r="P16" s="29"/>
      <c r="Q16" s="29"/>
      <c r="R16" s="29"/>
    </row>
    <row r="17" spans="1:18" x14ac:dyDescent="0.35">
      <c r="A17" s="389" t="s">
        <v>85</v>
      </c>
      <c r="B17" s="389"/>
      <c r="C17" s="389"/>
      <c r="D17" s="389"/>
      <c r="E17" s="390"/>
      <c r="F17" s="362">
        <v>45682</v>
      </c>
      <c r="G17" s="61">
        <v>45713</v>
      </c>
      <c r="H17" s="61">
        <v>45741</v>
      </c>
      <c r="I17" s="61">
        <v>45772</v>
      </c>
      <c r="J17" s="61">
        <v>45802</v>
      </c>
      <c r="K17" s="61">
        <v>45833</v>
      </c>
      <c r="L17" s="61">
        <v>45863</v>
      </c>
      <c r="M17" s="61">
        <v>45894</v>
      </c>
      <c r="N17" s="61">
        <v>45925</v>
      </c>
      <c r="O17" s="61">
        <v>45955</v>
      </c>
      <c r="P17" s="61">
        <v>45986</v>
      </c>
      <c r="Q17" s="61">
        <v>46016</v>
      </c>
      <c r="R17" s="34" t="s">
        <v>100</v>
      </c>
    </row>
    <row r="18" spans="1:18" x14ac:dyDescent="0.35">
      <c r="A18" s="379" t="s">
        <v>86</v>
      </c>
      <c r="B18" s="379"/>
      <c r="C18" s="379"/>
      <c r="D18" s="379"/>
      <c r="E18" s="379"/>
      <c r="F18" s="114">
        <v>0</v>
      </c>
      <c r="G18" s="114">
        <v>0</v>
      </c>
      <c r="H18" s="114">
        <v>0</v>
      </c>
      <c r="I18" s="114">
        <v>0</v>
      </c>
      <c r="J18" s="115">
        <v>450</v>
      </c>
      <c r="K18" s="115">
        <v>0</v>
      </c>
      <c r="L18" s="115">
        <v>0</v>
      </c>
      <c r="M18" s="115">
        <v>0</v>
      </c>
      <c r="N18" s="115">
        <v>0</v>
      </c>
      <c r="O18" s="115">
        <v>0</v>
      </c>
      <c r="P18" s="115">
        <v>0</v>
      </c>
      <c r="Q18" s="115">
        <v>0</v>
      </c>
      <c r="R18" s="116">
        <f>SUM(F18:Q18)</f>
        <v>450</v>
      </c>
    </row>
    <row r="19" spans="1:18" x14ac:dyDescent="0.35">
      <c r="A19" s="384" t="s">
        <v>87</v>
      </c>
      <c r="B19" s="384"/>
      <c r="C19" s="384"/>
      <c r="D19" s="384"/>
      <c r="E19" s="384"/>
      <c r="F19" s="114">
        <v>0</v>
      </c>
      <c r="G19" s="114">
        <v>0</v>
      </c>
      <c r="H19" s="114">
        <v>0</v>
      </c>
      <c r="I19" s="114">
        <v>0</v>
      </c>
      <c r="J19" s="114">
        <v>0</v>
      </c>
      <c r="K19" s="114">
        <v>0</v>
      </c>
      <c r="L19" s="114">
        <v>0</v>
      </c>
      <c r="M19" s="114">
        <v>0</v>
      </c>
      <c r="N19" s="114">
        <v>0</v>
      </c>
      <c r="O19" s="115">
        <v>650</v>
      </c>
      <c r="P19" s="115">
        <v>0</v>
      </c>
      <c r="Q19" s="115">
        <v>0</v>
      </c>
      <c r="R19" s="116">
        <f>SUM(F19:Q19)</f>
        <v>650</v>
      </c>
    </row>
    <row r="20" spans="1:18" x14ac:dyDescent="0.35">
      <c r="A20" s="384" t="s">
        <v>88</v>
      </c>
      <c r="B20" s="384"/>
      <c r="C20" s="384"/>
      <c r="D20" s="384"/>
      <c r="E20" s="384"/>
      <c r="F20" s="114">
        <v>1300</v>
      </c>
      <c r="G20" s="114">
        <v>1300</v>
      </c>
      <c r="H20" s="114">
        <v>1300</v>
      </c>
      <c r="I20" s="114">
        <v>1300</v>
      </c>
      <c r="J20" s="114">
        <v>1300</v>
      </c>
      <c r="K20" s="115">
        <v>0</v>
      </c>
      <c r="L20" s="115">
        <v>0</v>
      </c>
      <c r="M20" s="115">
        <v>0</v>
      </c>
      <c r="N20" s="115">
        <v>0</v>
      </c>
      <c r="O20" s="115">
        <v>0</v>
      </c>
      <c r="P20" s="115">
        <v>0</v>
      </c>
      <c r="Q20" s="115">
        <v>0</v>
      </c>
      <c r="R20" s="116">
        <f>SUM(F20:Q20)</f>
        <v>6500</v>
      </c>
    </row>
    <row r="21" spans="1:18" x14ac:dyDescent="0.35">
      <c r="A21" s="391" t="s">
        <v>89</v>
      </c>
      <c r="B21" s="391"/>
      <c r="C21" s="391"/>
      <c r="D21" s="391"/>
      <c r="E21" s="391"/>
      <c r="F21" s="117">
        <f>SUM(F18:F20)</f>
        <v>1300</v>
      </c>
      <c r="G21" s="117">
        <f>SUM(G18:G20)</f>
        <v>1300</v>
      </c>
      <c r="H21" s="117">
        <f>SUM(H18:H20)</f>
        <v>1300</v>
      </c>
      <c r="I21" s="116">
        <f>SUM(I18:I20)</f>
        <v>1300</v>
      </c>
      <c r="J21" s="116">
        <f>SUM(J18:J20)</f>
        <v>1750</v>
      </c>
      <c r="K21" s="116">
        <f t="shared" ref="K21:N21" si="0">SUM(K18:K20)</f>
        <v>0</v>
      </c>
      <c r="L21" s="116">
        <f t="shared" si="0"/>
        <v>0</v>
      </c>
      <c r="M21" s="116">
        <f t="shared" si="0"/>
        <v>0</v>
      </c>
      <c r="N21" s="116">
        <f t="shared" si="0"/>
        <v>0</v>
      </c>
      <c r="O21" s="116">
        <f>SUM(O18:O20)</f>
        <v>650</v>
      </c>
      <c r="P21" s="116">
        <f t="shared" ref="P21:Q21" si="1">SUM(P18:P20)</f>
        <v>0</v>
      </c>
      <c r="Q21" s="116">
        <f t="shared" si="1"/>
        <v>0</v>
      </c>
      <c r="R21" s="116">
        <f>SUM(F21:Q21)</f>
        <v>7600</v>
      </c>
    </row>
    <row r="22" spans="1:18" ht="15.5" x14ac:dyDescent="0.35">
      <c r="A22" s="344"/>
      <c r="B22" s="344"/>
      <c r="C22" s="344"/>
      <c r="D22" s="344"/>
      <c r="E22" s="344"/>
      <c r="F22" s="62"/>
      <c r="G22" s="62"/>
      <c r="H22" s="62"/>
      <c r="I22" s="29"/>
      <c r="J22" s="29"/>
      <c r="K22" s="29"/>
      <c r="L22" s="29"/>
      <c r="M22" s="29"/>
      <c r="N22" s="29"/>
      <c r="O22" s="29"/>
      <c r="P22" s="29"/>
      <c r="Q22" s="29"/>
      <c r="R22" s="29"/>
    </row>
    <row r="23" spans="1:18" x14ac:dyDescent="0.35">
      <c r="A23" s="392" t="s">
        <v>90</v>
      </c>
      <c r="B23" s="392"/>
      <c r="C23" s="392"/>
      <c r="D23" s="392"/>
      <c r="E23" s="392"/>
      <c r="F23" s="62"/>
      <c r="G23" s="62"/>
      <c r="H23" s="62"/>
      <c r="I23" s="29"/>
      <c r="J23" s="29"/>
      <c r="K23" s="29"/>
      <c r="L23" s="29"/>
      <c r="M23" s="29"/>
      <c r="N23" s="29"/>
      <c r="O23" s="29"/>
      <c r="P23" s="29"/>
      <c r="Q23" s="29"/>
      <c r="R23" s="29"/>
    </row>
    <row r="24" spans="1:18" x14ac:dyDescent="0.35">
      <c r="A24" s="384" t="s">
        <v>91</v>
      </c>
      <c r="B24" s="384"/>
      <c r="C24" s="384"/>
      <c r="D24" s="384"/>
      <c r="E24" s="384"/>
      <c r="F24" s="114">
        <v>0</v>
      </c>
      <c r="G24" s="114">
        <v>0</v>
      </c>
      <c r="H24" s="114">
        <v>150</v>
      </c>
      <c r="I24" s="115">
        <v>150</v>
      </c>
      <c r="J24" s="115">
        <v>0</v>
      </c>
      <c r="K24" s="115">
        <v>0</v>
      </c>
      <c r="L24" s="115">
        <v>0</v>
      </c>
      <c r="M24" s="115">
        <v>0</v>
      </c>
      <c r="N24" s="115">
        <v>150</v>
      </c>
      <c r="O24" s="115">
        <v>0</v>
      </c>
      <c r="P24" s="115">
        <v>150</v>
      </c>
      <c r="Q24" s="115">
        <v>150</v>
      </c>
      <c r="R24" s="116">
        <f>SUM(H24:Q24)</f>
        <v>750</v>
      </c>
    </row>
    <row r="25" spans="1:18" x14ac:dyDescent="0.35">
      <c r="A25" s="384" t="s">
        <v>92</v>
      </c>
      <c r="B25" s="384"/>
      <c r="C25" s="384"/>
      <c r="D25" s="384"/>
      <c r="E25" s="384"/>
      <c r="F25" s="114">
        <v>0</v>
      </c>
      <c r="G25" s="114">
        <v>0</v>
      </c>
      <c r="H25" s="114">
        <v>225</v>
      </c>
      <c r="I25" s="115">
        <v>350</v>
      </c>
      <c r="J25" s="115">
        <v>225</v>
      </c>
      <c r="K25" s="115">
        <v>0</v>
      </c>
      <c r="L25" s="115">
        <v>0</v>
      </c>
      <c r="M25" s="115">
        <v>0</v>
      </c>
      <c r="N25" s="115">
        <v>350</v>
      </c>
      <c r="O25" s="115">
        <v>350</v>
      </c>
      <c r="P25" s="115">
        <v>225</v>
      </c>
      <c r="Q25" s="115">
        <v>350</v>
      </c>
      <c r="R25" s="116">
        <f>SUM(H25:Q25)</f>
        <v>2075</v>
      </c>
    </row>
    <row r="26" spans="1:18" x14ac:dyDescent="0.35">
      <c r="A26" s="391" t="s">
        <v>93</v>
      </c>
      <c r="B26" s="391"/>
      <c r="C26" s="391"/>
      <c r="D26" s="391"/>
      <c r="E26" s="391"/>
      <c r="F26" s="117">
        <f t="shared" ref="F26:G26" si="2">SUM(F24:F25)</f>
        <v>0</v>
      </c>
      <c r="G26" s="117">
        <f t="shared" si="2"/>
        <v>0</v>
      </c>
      <c r="H26" s="117">
        <f>SUM(H24:H25)</f>
        <v>375</v>
      </c>
      <c r="I26" s="116">
        <f>SUM(I24:I25)</f>
        <v>500</v>
      </c>
      <c r="J26" s="116">
        <f>SUM(J24:J25)</f>
        <v>225</v>
      </c>
      <c r="K26" s="116">
        <f t="shared" ref="K26:M26" si="3">SUM(K24:K25)</f>
        <v>0</v>
      </c>
      <c r="L26" s="116">
        <f t="shared" si="3"/>
        <v>0</v>
      </c>
      <c r="M26" s="116">
        <f t="shared" si="3"/>
        <v>0</v>
      </c>
      <c r="N26" s="116">
        <f>SUM(N24:N25)</f>
        <v>500</v>
      </c>
      <c r="O26" s="116">
        <f>SUM(O24:O25)</f>
        <v>350</v>
      </c>
      <c r="P26" s="116">
        <f>SUM(P24:P25)</f>
        <v>375</v>
      </c>
      <c r="Q26" s="116">
        <f>SUM(Q24:Q25)</f>
        <v>500</v>
      </c>
      <c r="R26" s="116">
        <f>SUM(H26:Q26)</f>
        <v>2825</v>
      </c>
    </row>
    <row r="27" spans="1:18" ht="15.5" x14ac:dyDescent="0.35">
      <c r="A27" s="344"/>
      <c r="B27" s="344"/>
      <c r="C27" s="344"/>
      <c r="D27" s="344"/>
      <c r="E27" s="344"/>
      <c r="F27" s="118"/>
      <c r="G27" s="118"/>
      <c r="H27" s="118"/>
      <c r="I27" s="119"/>
      <c r="J27" s="119"/>
      <c r="K27" s="119"/>
      <c r="L27" s="119"/>
      <c r="M27" s="119"/>
      <c r="N27" s="119"/>
      <c r="O27" s="119"/>
      <c r="P27" s="119"/>
      <c r="Q27" s="119"/>
      <c r="R27" s="119"/>
    </row>
    <row r="28" spans="1:18" x14ac:dyDescent="0.35">
      <c r="A28" s="391" t="s">
        <v>212</v>
      </c>
      <c r="B28" s="391"/>
      <c r="C28" s="391"/>
      <c r="D28" s="391"/>
      <c r="E28" s="391"/>
      <c r="F28" s="120">
        <v>300</v>
      </c>
      <c r="G28" s="118" t="s">
        <v>75</v>
      </c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9"/>
    </row>
    <row r="29" spans="1:18" x14ac:dyDescent="0.35">
      <c r="A29" s="384" t="s">
        <v>94</v>
      </c>
      <c r="B29" s="384"/>
      <c r="C29" s="384"/>
      <c r="D29" s="384"/>
      <c r="E29" s="384"/>
      <c r="F29" s="363">
        <f t="shared" ref="F29:Q29" si="4">$F$28</f>
        <v>300</v>
      </c>
      <c r="G29" s="121">
        <f t="shared" si="4"/>
        <v>300</v>
      </c>
      <c r="H29" s="121">
        <f t="shared" si="4"/>
        <v>300</v>
      </c>
      <c r="I29" s="121">
        <f t="shared" si="4"/>
        <v>300</v>
      </c>
      <c r="J29" s="121">
        <f t="shared" si="4"/>
        <v>300</v>
      </c>
      <c r="K29" s="121">
        <f t="shared" si="4"/>
        <v>300</v>
      </c>
      <c r="L29" s="121">
        <f t="shared" si="4"/>
        <v>300</v>
      </c>
      <c r="M29" s="121">
        <f t="shared" si="4"/>
        <v>300</v>
      </c>
      <c r="N29" s="121">
        <f t="shared" si="4"/>
        <v>300</v>
      </c>
      <c r="O29" s="121">
        <f t="shared" si="4"/>
        <v>300</v>
      </c>
      <c r="P29" s="121">
        <f t="shared" si="4"/>
        <v>300</v>
      </c>
      <c r="Q29" s="121">
        <f t="shared" si="4"/>
        <v>300</v>
      </c>
      <c r="R29" s="116">
        <f>SUM(F29:Q29)</f>
        <v>3600</v>
      </c>
    </row>
    <row r="30" spans="1:18" x14ac:dyDescent="0.35">
      <c r="A30" s="384" t="s">
        <v>95</v>
      </c>
      <c r="B30" s="384"/>
      <c r="C30" s="384"/>
      <c r="D30" s="384"/>
      <c r="E30" s="384"/>
      <c r="F30" s="364">
        <v>0</v>
      </c>
      <c r="G30" s="114">
        <v>0</v>
      </c>
      <c r="H30" s="114">
        <v>0</v>
      </c>
      <c r="I30" s="114">
        <v>0</v>
      </c>
      <c r="J30" s="114">
        <v>0</v>
      </c>
      <c r="K30" s="114">
        <v>0</v>
      </c>
      <c r="L30" s="114">
        <v>0</v>
      </c>
      <c r="M30" s="114">
        <v>0</v>
      </c>
      <c r="N30" s="114">
        <v>0</v>
      </c>
      <c r="O30" s="115">
        <v>200</v>
      </c>
      <c r="P30" s="115">
        <v>200</v>
      </c>
      <c r="Q30" s="115">
        <v>200</v>
      </c>
      <c r="R30" s="116">
        <f>SUM(F30:Q30)</f>
        <v>600</v>
      </c>
    </row>
    <row r="31" spans="1:18" x14ac:dyDescent="0.35">
      <c r="A31" s="391" t="s">
        <v>96</v>
      </c>
      <c r="B31" s="391"/>
      <c r="C31" s="391"/>
      <c r="D31" s="391"/>
      <c r="E31" s="391"/>
      <c r="F31" s="365">
        <f t="shared" ref="F31:Q31" si="5">SUM(F29:F30)</f>
        <v>300</v>
      </c>
      <c r="G31" s="117">
        <f t="shared" si="5"/>
        <v>300</v>
      </c>
      <c r="H31" s="117">
        <f t="shared" si="5"/>
        <v>300</v>
      </c>
      <c r="I31" s="116">
        <f t="shared" si="5"/>
        <v>300</v>
      </c>
      <c r="J31" s="116">
        <f t="shared" si="5"/>
        <v>300</v>
      </c>
      <c r="K31" s="116">
        <f t="shared" si="5"/>
        <v>300</v>
      </c>
      <c r="L31" s="116">
        <f t="shared" si="5"/>
        <v>300</v>
      </c>
      <c r="M31" s="116">
        <f t="shared" si="5"/>
        <v>300</v>
      </c>
      <c r="N31" s="116">
        <f t="shared" si="5"/>
        <v>300</v>
      </c>
      <c r="O31" s="116">
        <f t="shared" si="5"/>
        <v>500</v>
      </c>
      <c r="P31" s="116">
        <f t="shared" si="5"/>
        <v>500</v>
      </c>
      <c r="Q31" s="116">
        <f t="shared" si="5"/>
        <v>500</v>
      </c>
      <c r="R31" s="116">
        <f>SUM(F31:Q31)</f>
        <v>4200</v>
      </c>
    </row>
    <row r="32" spans="1:18" ht="15.5" x14ac:dyDescent="0.35">
      <c r="A32" s="343"/>
      <c r="B32" s="343"/>
      <c r="C32" s="343"/>
      <c r="D32" s="343"/>
      <c r="E32" s="343"/>
      <c r="F32" s="122"/>
      <c r="G32" s="122"/>
      <c r="H32" s="122"/>
      <c r="I32" s="123"/>
      <c r="J32" s="123"/>
      <c r="K32" s="123"/>
      <c r="L32" s="123"/>
      <c r="M32" s="123"/>
      <c r="N32" s="123"/>
      <c r="O32" s="123"/>
      <c r="P32" s="123"/>
      <c r="Q32" s="123"/>
      <c r="R32" s="123"/>
    </row>
    <row r="33" spans="1:18" x14ac:dyDescent="0.35">
      <c r="A33" s="391" t="s">
        <v>97</v>
      </c>
      <c r="B33" s="391"/>
      <c r="C33" s="391"/>
      <c r="D33" s="391"/>
      <c r="E33" s="391"/>
      <c r="F33" s="114">
        <v>110</v>
      </c>
      <c r="G33" s="122" t="s">
        <v>75</v>
      </c>
      <c r="H33" s="122"/>
      <c r="I33" s="123"/>
      <c r="J33" s="123"/>
      <c r="K33" s="123"/>
      <c r="L33" s="123"/>
      <c r="M33" s="123"/>
      <c r="N33" s="123"/>
      <c r="O33" s="123"/>
      <c r="P33" s="123"/>
      <c r="Q33" s="123"/>
      <c r="R33" s="123"/>
    </row>
    <row r="34" spans="1:18" x14ac:dyDescent="0.35">
      <c r="A34" s="392"/>
      <c r="B34" s="392"/>
      <c r="C34" s="392"/>
      <c r="D34" s="392"/>
      <c r="E34" s="392"/>
      <c r="F34" s="124"/>
      <c r="G34" s="122"/>
      <c r="H34" s="122"/>
      <c r="I34" s="123"/>
      <c r="J34" s="123"/>
      <c r="K34" s="123"/>
      <c r="L34" s="123"/>
      <c r="M34" s="123"/>
      <c r="N34" s="123"/>
      <c r="O34" s="123"/>
      <c r="P34" s="123"/>
      <c r="Q34" s="123"/>
      <c r="R34" s="123"/>
    </row>
    <row r="35" spans="1:18" x14ac:dyDescent="0.35">
      <c r="A35" s="391" t="s">
        <v>98</v>
      </c>
      <c r="B35" s="391"/>
      <c r="C35" s="391"/>
      <c r="D35" s="391"/>
      <c r="E35" s="391"/>
      <c r="F35" s="114">
        <v>2900</v>
      </c>
      <c r="G35" s="122" t="s">
        <v>75</v>
      </c>
      <c r="H35" s="122"/>
      <c r="I35" s="123"/>
      <c r="J35" s="123"/>
      <c r="K35" s="123"/>
      <c r="L35" s="123"/>
      <c r="M35" s="123"/>
      <c r="N35" s="123"/>
      <c r="O35" s="123"/>
      <c r="P35" s="123"/>
      <c r="Q35" s="123"/>
      <c r="R35" s="123"/>
    </row>
    <row r="36" spans="1:18" x14ac:dyDescent="0.35">
      <c r="A36" s="392"/>
      <c r="B36" s="392"/>
      <c r="C36" s="392"/>
      <c r="D36" s="392"/>
      <c r="E36" s="392"/>
      <c r="F36" s="124"/>
      <c r="G36" s="122"/>
      <c r="H36" s="122"/>
      <c r="I36" s="123"/>
      <c r="J36" s="123"/>
      <c r="K36" s="123"/>
      <c r="L36" s="123"/>
      <c r="M36" s="123"/>
      <c r="N36" s="123"/>
      <c r="O36" s="123"/>
      <c r="P36" s="123"/>
      <c r="Q36" s="123"/>
      <c r="R36" s="123"/>
    </row>
    <row r="37" spans="1:18" x14ac:dyDescent="0.35">
      <c r="A37" s="391" t="s">
        <v>99</v>
      </c>
      <c r="B37" s="391"/>
      <c r="C37" s="391"/>
      <c r="D37" s="391"/>
      <c r="E37" s="391"/>
      <c r="F37" s="114">
        <v>40</v>
      </c>
      <c r="G37" s="122" t="s">
        <v>75</v>
      </c>
      <c r="H37" s="125"/>
      <c r="I37" s="126"/>
      <c r="J37" s="126"/>
      <c r="K37" s="126"/>
      <c r="L37" s="126"/>
      <c r="M37" s="126"/>
      <c r="N37" s="126"/>
      <c r="O37" s="126"/>
      <c r="P37" s="126"/>
      <c r="Q37" s="126"/>
      <c r="R37" s="126"/>
    </row>
  </sheetData>
  <mergeCells count="36">
    <mergeCell ref="A10:E10"/>
    <mergeCell ref="A11:E11"/>
    <mergeCell ref="A12:E12"/>
    <mergeCell ref="A5:E5"/>
    <mergeCell ref="A6:E6"/>
    <mergeCell ref="A7:E7"/>
    <mergeCell ref="A8:E8"/>
    <mergeCell ref="A9:E9"/>
    <mergeCell ref="A1:G1"/>
    <mergeCell ref="A25:E25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13:E13"/>
    <mergeCell ref="A3:E3"/>
    <mergeCell ref="A4:E4"/>
    <mergeCell ref="A37:E37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</mergeCells>
  <phoneticPr fontId="9" type="noConversion"/>
  <conditionalFormatting sqref="A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38" right="0.25" top="0.75" bottom="0.75" header="0.3" footer="0.3"/>
  <pageSetup scale="72" orientation="landscape" r:id="rId1"/>
  <headerFooter>
    <oddFooter>&amp;LPrepared by: Miraj Sangani&amp;COther Expenses       &amp;R&amp;P</oddFooter>
  </headerFooter>
  <ignoredErrors>
    <ignoredError sqref="F21:Q21 R24:R25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5B5B-D1F3-453C-8D2A-599EE1F1ED69}">
  <sheetPr>
    <tabColor theme="0" tint="-0.499984740745262"/>
    <pageSetUpPr fitToPage="1"/>
  </sheetPr>
  <dimension ref="A1:M87"/>
  <sheetViews>
    <sheetView zoomScaleNormal="100" zoomScalePageLayoutView="55" workbookViewId="0">
      <selection sqref="A1:G1"/>
    </sheetView>
  </sheetViews>
  <sheetFormatPr defaultRowHeight="14.5" x14ac:dyDescent="0.35"/>
  <cols>
    <col min="1" max="1" width="43.08984375" customWidth="1"/>
    <col min="2" max="2" width="11.6328125" customWidth="1"/>
    <col min="3" max="7" width="15" customWidth="1"/>
  </cols>
  <sheetData>
    <row r="1" spans="1:13" ht="15" thickBot="1" x14ac:dyDescent="0.4">
      <c r="A1" s="349" t="s">
        <v>413</v>
      </c>
      <c r="B1" s="350"/>
      <c r="C1" s="350"/>
      <c r="D1" s="350"/>
      <c r="E1" s="350"/>
      <c r="F1" s="350"/>
      <c r="G1" s="351"/>
    </row>
    <row r="3" spans="1:13" ht="39.5" x14ac:dyDescent="0.35">
      <c r="A3" s="181"/>
      <c r="B3" s="221" t="s">
        <v>300</v>
      </c>
      <c r="C3" s="221" t="s">
        <v>301</v>
      </c>
      <c r="D3" s="221" t="s">
        <v>302</v>
      </c>
      <c r="E3" s="221" t="s">
        <v>303</v>
      </c>
      <c r="F3" s="221" t="s">
        <v>304</v>
      </c>
      <c r="G3" s="221" t="s">
        <v>305</v>
      </c>
      <c r="H3" s="180"/>
      <c r="I3" s="180"/>
      <c r="J3" s="180"/>
      <c r="K3" s="180"/>
      <c r="L3" s="180"/>
      <c r="M3" s="180"/>
    </row>
    <row r="4" spans="1:13" x14ac:dyDescent="0.35">
      <c r="A4" s="181" t="s">
        <v>306</v>
      </c>
      <c r="B4" s="181" t="s">
        <v>306</v>
      </c>
      <c r="C4" s="181" t="s">
        <v>306</v>
      </c>
      <c r="D4" s="181" t="s">
        <v>306</v>
      </c>
      <c r="E4" s="181" t="s">
        <v>306</v>
      </c>
      <c r="F4" s="181" t="s">
        <v>306</v>
      </c>
      <c r="G4" s="181" t="s">
        <v>306</v>
      </c>
      <c r="H4" s="180"/>
      <c r="I4" s="180"/>
      <c r="J4" s="180"/>
      <c r="K4" s="180"/>
      <c r="L4" s="180"/>
      <c r="M4" s="180"/>
    </row>
    <row r="5" spans="1:13" x14ac:dyDescent="0.35">
      <c r="A5" s="222" t="s">
        <v>307</v>
      </c>
      <c r="B5" s="181">
        <v>182</v>
      </c>
      <c r="C5" s="181" t="s">
        <v>306</v>
      </c>
      <c r="D5" s="181" t="s">
        <v>306</v>
      </c>
      <c r="E5" s="181" t="s">
        <v>306</v>
      </c>
      <c r="F5" s="181" t="s">
        <v>306</v>
      </c>
      <c r="G5" s="181" t="s">
        <v>306</v>
      </c>
      <c r="H5" s="180"/>
      <c r="I5" s="180"/>
      <c r="J5" s="180"/>
      <c r="K5" s="180"/>
      <c r="L5" s="180"/>
      <c r="M5" s="180"/>
    </row>
    <row r="6" spans="1:13" x14ac:dyDescent="0.35">
      <c r="A6" s="222" t="s">
        <v>308</v>
      </c>
      <c r="B6" s="181" t="s">
        <v>306</v>
      </c>
      <c r="C6" s="181" t="s">
        <v>306</v>
      </c>
      <c r="D6" s="181" t="s">
        <v>306</v>
      </c>
      <c r="E6" s="181" t="s">
        <v>306</v>
      </c>
      <c r="F6" s="181" t="s">
        <v>306</v>
      </c>
      <c r="G6" s="181" t="s">
        <v>306</v>
      </c>
      <c r="H6" s="180"/>
      <c r="I6" s="180"/>
      <c r="J6" s="180"/>
      <c r="K6" s="180"/>
      <c r="L6" s="180"/>
      <c r="M6" s="180"/>
    </row>
    <row r="7" spans="1:13" x14ac:dyDescent="0.35">
      <c r="A7" s="223" t="s">
        <v>309</v>
      </c>
      <c r="B7" s="181">
        <v>30</v>
      </c>
      <c r="C7" s="181">
        <v>30</v>
      </c>
      <c r="D7" s="181">
        <v>74</v>
      </c>
      <c r="E7" s="181">
        <v>214</v>
      </c>
      <c r="F7" s="181">
        <v>722</v>
      </c>
      <c r="G7" s="181" t="s">
        <v>306</v>
      </c>
      <c r="H7" s="180"/>
      <c r="I7" s="180"/>
      <c r="J7" s="180"/>
      <c r="K7" s="180"/>
      <c r="L7" s="180"/>
      <c r="M7" s="180"/>
    </row>
    <row r="8" spans="1:13" x14ac:dyDescent="0.35">
      <c r="A8" s="233" t="s">
        <v>310</v>
      </c>
      <c r="B8" s="234">
        <v>5000</v>
      </c>
      <c r="C8" s="234">
        <v>74</v>
      </c>
      <c r="D8" s="234">
        <v>214</v>
      </c>
      <c r="E8" s="234">
        <v>722</v>
      </c>
      <c r="F8" s="234">
        <v>5000</v>
      </c>
      <c r="G8" s="234" t="s">
        <v>306</v>
      </c>
      <c r="H8" s="180"/>
      <c r="I8" s="180"/>
      <c r="J8" s="180"/>
      <c r="K8" s="180"/>
      <c r="L8" s="180"/>
      <c r="M8" s="180"/>
    </row>
    <row r="9" spans="1:13" x14ac:dyDescent="0.35">
      <c r="A9" s="231" t="s">
        <v>306</v>
      </c>
      <c r="B9" s="231" t="s">
        <v>306</v>
      </c>
      <c r="C9" s="231" t="s">
        <v>306</v>
      </c>
      <c r="D9" s="231" t="s">
        <v>306</v>
      </c>
      <c r="E9" s="231" t="s">
        <v>306</v>
      </c>
      <c r="F9" s="231" t="s">
        <v>306</v>
      </c>
      <c r="G9" s="231" t="s">
        <v>306</v>
      </c>
      <c r="H9" s="180"/>
      <c r="I9" s="180"/>
      <c r="J9" s="180"/>
      <c r="K9" s="180"/>
      <c r="L9" s="180"/>
      <c r="M9" s="180"/>
    </row>
    <row r="10" spans="1:13" x14ac:dyDescent="0.35">
      <c r="A10" s="230" t="s">
        <v>311</v>
      </c>
      <c r="B10" s="352" t="s">
        <v>312</v>
      </c>
      <c r="C10" s="353"/>
      <c r="D10" s="353"/>
      <c r="E10" s="353"/>
      <c r="F10" s="353"/>
      <c r="G10" s="354"/>
      <c r="H10" s="180"/>
      <c r="I10" s="180"/>
      <c r="J10" s="180"/>
      <c r="K10" s="180"/>
      <c r="L10" s="180"/>
      <c r="M10" s="180"/>
    </row>
    <row r="11" spans="1:13" x14ac:dyDescent="0.35">
      <c r="A11" s="221" t="s">
        <v>313</v>
      </c>
      <c r="B11" s="235">
        <v>100</v>
      </c>
      <c r="C11" s="235">
        <v>100</v>
      </c>
      <c r="D11" s="235">
        <v>100</v>
      </c>
      <c r="E11" s="235">
        <v>100</v>
      </c>
      <c r="F11" s="235">
        <v>100</v>
      </c>
      <c r="G11" s="235">
        <v>100</v>
      </c>
      <c r="H11" s="180"/>
      <c r="I11" s="180"/>
      <c r="J11" s="180"/>
      <c r="K11" s="180"/>
      <c r="L11" s="180"/>
      <c r="M11" s="180"/>
    </row>
    <row r="12" spans="1:13" x14ac:dyDescent="0.35">
      <c r="A12" s="223" t="s">
        <v>314</v>
      </c>
      <c r="B12" s="253" t="s">
        <v>315</v>
      </c>
      <c r="C12" s="253" t="s">
        <v>315</v>
      </c>
      <c r="D12" s="253" t="s">
        <v>315</v>
      </c>
      <c r="E12" s="253" t="s">
        <v>315</v>
      </c>
      <c r="F12" s="253" t="s">
        <v>315</v>
      </c>
      <c r="G12" s="253" t="s">
        <v>315</v>
      </c>
      <c r="H12" s="180"/>
      <c r="I12" s="180"/>
      <c r="J12" s="180"/>
      <c r="K12" s="180"/>
      <c r="L12" s="180"/>
      <c r="M12" s="180"/>
    </row>
    <row r="13" spans="1:13" x14ac:dyDescent="0.35">
      <c r="A13" s="223" t="s">
        <v>316</v>
      </c>
      <c r="B13" s="253" t="s">
        <v>315</v>
      </c>
      <c r="C13" s="253" t="s">
        <v>315</v>
      </c>
      <c r="D13" s="253" t="s">
        <v>315</v>
      </c>
      <c r="E13" s="253" t="s">
        <v>315</v>
      </c>
      <c r="F13" s="253" t="s">
        <v>315</v>
      </c>
      <c r="G13" s="253" t="s">
        <v>315</v>
      </c>
      <c r="H13" s="180"/>
      <c r="I13" s="180"/>
      <c r="J13" s="180"/>
      <c r="K13" s="180"/>
      <c r="L13" s="180"/>
      <c r="M13" s="180"/>
    </row>
    <row r="14" spans="1:13" ht="15.5" x14ac:dyDescent="0.35">
      <c r="A14" s="221" t="s">
        <v>317</v>
      </c>
      <c r="B14" s="235" t="s">
        <v>384</v>
      </c>
      <c r="C14" s="235">
        <v>24.899999618530273</v>
      </c>
      <c r="D14" s="235">
        <v>38</v>
      </c>
      <c r="E14" s="235">
        <v>41.5</v>
      </c>
      <c r="F14" s="235">
        <v>55.299999237060547</v>
      </c>
      <c r="G14" s="235">
        <v>89</v>
      </c>
      <c r="H14" s="180"/>
      <c r="I14" s="180"/>
      <c r="J14" s="180"/>
      <c r="K14" s="180"/>
      <c r="L14" s="180"/>
      <c r="M14" s="180"/>
    </row>
    <row r="15" spans="1:13" ht="15.5" x14ac:dyDescent="0.35">
      <c r="A15" s="223" t="s">
        <v>318</v>
      </c>
      <c r="B15" s="224" t="s">
        <v>319</v>
      </c>
      <c r="C15" s="224">
        <v>2.0999999046325684</v>
      </c>
      <c r="D15" s="224">
        <v>6.3000001907348633</v>
      </c>
      <c r="E15" s="224">
        <v>7.9000000953674316</v>
      </c>
      <c r="F15" s="224">
        <v>16.5</v>
      </c>
      <c r="G15" s="224">
        <v>40.700000762939453</v>
      </c>
      <c r="H15" s="180"/>
      <c r="I15" s="180"/>
      <c r="J15" s="180"/>
      <c r="K15" s="180"/>
      <c r="L15" s="180"/>
      <c r="M15" s="180"/>
    </row>
    <row r="16" spans="1:13" ht="15.5" x14ac:dyDescent="0.35">
      <c r="A16" s="223" t="s">
        <v>320</v>
      </c>
      <c r="B16" s="224" t="s">
        <v>321</v>
      </c>
      <c r="C16" s="224">
        <v>23.299999237060547</v>
      </c>
      <c r="D16" s="224">
        <v>31</v>
      </c>
      <c r="E16" s="224">
        <v>34.299999237060547</v>
      </c>
      <c r="F16" s="224">
        <v>39.700000762939453</v>
      </c>
      <c r="G16" s="224">
        <v>89.599998474121094</v>
      </c>
      <c r="H16" s="180"/>
      <c r="I16" s="180"/>
      <c r="J16" s="180"/>
      <c r="K16" s="180"/>
      <c r="L16" s="180"/>
      <c r="M16" s="180"/>
    </row>
    <row r="17" spans="1:13" ht="15.5" x14ac:dyDescent="0.35">
      <c r="A17" s="223" t="s">
        <v>322</v>
      </c>
      <c r="B17" s="224" t="s">
        <v>323</v>
      </c>
      <c r="C17" s="224">
        <v>13</v>
      </c>
      <c r="D17" s="224">
        <v>3.7999999523162842</v>
      </c>
      <c r="E17" s="224">
        <v>8.5</v>
      </c>
      <c r="F17" s="224">
        <v>12.699999809265137</v>
      </c>
      <c r="G17" s="224">
        <v>67</v>
      </c>
      <c r="H17" s="180"/>
      <c r="I17" s="180"/>
      <c r="J17" s="180"/>
      <c r="K17" s="180"/>
      <c r="L17" s="180"/>
      <c r="M17" s="180"/>
    </row>
    <row r="18" spans="1:13" ht="15.5" x14ac:dyDescent="0.35">
      <c r="A18" s="223" t="s">
        <v>324</v>
      </c>
      <c r="B18" s="224" t="s">
        <v>325</v>
      </c>
      <c r="C18" s="224">
        <v>13.5</v>
      </c>
      <c r="D18" s="224">
        <v>3.0999999046325684</v>
      </c>
      <c r="E18" s="224">
        <v>9.1000003814697266</v>
      </c>
      <c r="F18" s="224">
        <v>13.600000381469727</v>
      </c>
      <c r="G18" s="224">
        <v>64.300003051757813</v>
      </c>
      <c r="H18" s="180"/>
      <c r="I18" s="180"/>
      <c r="J18" s="180"/>
      <c r="K18" s="180"/>
      <c r="L18" s="180"/>
      <c r="M18" s="180"/>
    </row>
    <row r="19" spans="1:13" ht="15.5" x14ac:dyDescent="0.35">
      <c r="A19" s="221" t="s">
        <v>326</v>
      </c>
      <c r="B19" s="235" t="s">
        <v>327</v>
      </c>
      <c r="C19" s="235">
        <v>67.099998474121094</v>
      </c>
      <c r="D19" s="235">
        <v>57.400001525878906</v>
      </c>
      <c r="E19" s="235">
        <v>58</v>
      </c>
      <c r="F19" s="235">
        <v>37.099998474121094</v>
      </c>
      <c r="G19" s="235">
        <v>100</v>
      </c>
      <c r="H19" s="180"/>
      <c r="I19" s="180"/>
      <c r="J19" s="180"/>
      <c r="K19" s="180"/>
      <c r="L19" s="180"/>
      <c r="M19" s="180"/>
    </row>
    <row r="20" spans="1:13" ht="15.5" x14ac:dyDescent="0.35">
      <c r="A20" s="223" t="s">
        <v>328</v>
      </c>
      <c r="B20" s="224" t="s">
        <v>329</v>
      </c>
      <c r="C20" s="224">
        <v>11.899999618530273</v>
      </c>
      <c r="D20" s="224">
        <v>19.399999618530273</v>
      </c>
      <c r="E20" s="224">
        <v>23.600000381469727</v>
      </c>
      <c r="F20" s="224">
        <v>16.200000762939453</v>
      </c>
      <c r="G20" s="224">
        <v>65.900001525878906</v>
      </c>
      <c r="H20" s="180"/>
      <c r="I20" s="180"/>
      <c r="J20" s="180"/>
      <c r="K20" s="180"/>
      <c r="L20" s="180"/>
      <c r="M20" s="180"/>
    </row>
    <row r="21" spans="1:13" ht="15.5" x14ac:dyDescent="0.35">
      <c r="A21" s="223" t="s">
        <v>330</v>
      </c>
      <c r="B21" s="224" t="s">
        <v>331</v>
      </c>
      <c r="C21" s="224">
        <v>6</v>
      </c>
      <c r="D21" s="224">
        <v>4.9000000953674316</v>
      </c>
      <c r="E21" s="224">
        <v>4.5999999046325684</v>
      </c>
      <c r="F21" s="224">
        <v>2.2999999523162842</v>
      </c>
      <c r="G21" s="224">
        <v>76.900001525878906</v>
      </c>
      <c r="H21" s="180"/>
      <c r="I21" s="180"/>
      <c r="J21" s="180"/>
      <c r="K21" s="180"/>
      <c r="L21" s="180"/>
      <c r="M21" s="180"/>
    </row>
    <row r="22" spans="1:13" ht="15.5" x14ac:dyDescent="0.35">
      <c r="A22" s="223" t="s">
        <v>332</v>
      </c>
      <c r="B22" s="224" t="s">
        <v>333</v>
      </c>
      <c r="C22" s="224">
        <v>1.6000000238418579</v>
      </c>
      <c r="D22" s="224">
        <v>1.6000000238418579</v>
      </c>
      <c r="E22" s="224">
        <v>1.6000000238418579</v>
      </c>
      <c r="F22" s="224">
        <v>1.2000000476837158</v>
      </c>
      <c r="G22" s="224">
        <v>72</v>
      </c>
      <c r="H22" s="180"/>
      <c r="I22" s="180"/>
      <c r="J22" s="180"/>
      <c r="K22" s="180"/>
      <c r="L22" s="180"/>
      <c r="M22" s="180"/>
    </row>
    <row r="23" spans="1:13" ht="15.5" x14ac:dyDescent="0.35">
      <c r="A23" s="223" t="s">
        <v>334</v>
      </c>
      <c r="B23" s="224" t="s">
        <v>335</v>
      </c>
      <c r="C23" s="224">
        <v>3.9000000953674316</v>
      </c>
      <c r="D23" s="224">
        <v>2.7000000476837158</v>
      </c>
      <c r="E23" s="224">
        <v>1.8999999761581421</v>
      </c>
      <c r="F23" s="224">
        <v>1.2000000476837158</v>
      </c>
      <c r="G23" s="224">
        <v>86.300003051757813</v>
      </c>
      <c r="H23" s="180"/>
      <c r="I23" s="180"/>
      <c r="J23" s="180"/>
      <c r="K23" s="180"/>
      <c r="L23" s="180"/>
      <c r="M23" s="180"/>
    </row>
    <row r="24" spans="1:13" ht="15.5" x14ac:dyDescent="0.35">
      <c r="A24" s="223" t="s">
        <v>249</v>
      </c>
      <c r="B24" s="224" t="s">
        <v>336</v>
      </c>
      <c r="C24" s="224">
        <v>7.5</v>
      </c>
      <c r="D24" s="224">
        <v>10</v>
      </c>
      <c r="E24" s="224">
        <v>7.5999999046325684</v>
      </c>
      <c r="F24" s="224">
        <v>4.6999998092651367</v>
      </c>
      <c r="G24" s="224">
        <v>73.599998474121094</v>
      </c>
      <c r="H24" s="180"/>
      <c r="I24" s="180"/>
      <c r="J24" s="180"/>
      <c r="K24" s="180"/>
      <c r="L24" s="180"/>
      <c r="M24" s="180"/>
    </row>
    <row r="25" spans="1:13" ht="15.5" x14ac:dyDescent="0.35">
      <c r="A25" s="223" t="s">
        <v>337</v>
      </c>
      <c r="B25" s="224" t="s">
        <v>338</v>
      </c>
      <c r="C25" s="224">
        <v>4.4000000953674316</v>
      </c>
      <c r="D25" s="224">
        <v>1.2999999523162842</v>
      </c>
      <c r="E25" s="224">
        <v>2.5</v>
      </c>
      <c r="F25" s="224">
        <v>0.60000002384185791</v>
      </c>
      <c r="G25" s="224">
        <v>48.400001525878906</v>
      </c>
      <c r="H25" s="180"/>
      <c r="I25" s="180"/>
      <c r="J25" s="180"/>
      <c r="K25" s="180"/>
      <c r="L25" s="180"/>
      <c r="M25" s="180"/>
    </row>
    <row r="26" spans="1:13" ht="15.5" x14ac:dyDescent="0.35">
      <c r="A26" s="223" t="s">
        <v>339</v>
      </c>
      <c r="B26" s="224" t="s">
        <v>340</v>
      </c>
      <c r="C26" s="224">
        <v>5.8000001907348633</v>
      </c>
      <c r="D26" s="224">
        <v>2</v>
      </c>
      <c r="E26" s="224">
        <v>2.5999999046325684</v>
      </c>
      <c r="F26" s="224">
        <v>1.2999999523162842</v>
      </c>
      <c r="G26" s="224">
        <v>89</v>
      </c>
      <c r="H26" s="180"/>
      <c r="I26" s="180"/>
      <c r="J26" s="180"/>
      <c r="K26" s="180"/>
      <c r="L26" s="180"/>
      <c r="M26" s="180"/>
    </row>
    <row r="27" spans="1:13" ht="15.5" x14ac:dyDescent="0.35">
      <c r="A27" s="223" t="s">
        <v>341</v>
      </c>
      <c r="B27" s="224" t="s">
        <v>342</v>
      </c>
      <c r="C27" s="224">
        <v>2.4000000953674316</v>
      </c>
      <c r="D27" s="224">
        <v>2.5</v>
      </c>
      <c r="E27" s="224">
        <v>2.2000000476837158</v>
      </c>
      <c r="F27" s="224">
        <v>3</v>
      </c>
      <c r="G27" s="224">
        <v>83.5</v>
      </c>
      <c r="H27" s="180"/>
      <c r="I27" s="180"/>
      <c r="J27" s="180"/>
      <c r="K27" s="180"/>
      <c r="L27" s="180"/>
      <c r="M27" s="180"/>
    </row>
    <row r="28" spans="1:13" ht="15.5" x14ac:dyDescent="0.35">
      <c r="A28" s="223" t="s">
        <v>343</v>
      </c>
      <c r="B28" s="224" t="s">
        <v>344</v>
      </c>
      <c r="C28" s="224">
        <v>1</v>
      </c>
      <c r="D28" s="224">
        <v>0.80000001192092896</v>
      </c>
      <c r="E28" s="224">
        <v>0.80000001192092896</v>
      </c>
      <c r="F28" s="224">
        <v>0.40000000596046448</v>
      </c>
      <c r="G28" s="224">
        <v>35.700000762939453</v>
      </c>
      <c r="H28" s="180"/>
      <c r="I28" s="180"/>
      <c r="J28" s="180"/>
      <c r="K28" s="180"/>
      <c r="L28" s="180"/>
      <c r="M28" s="180"/>
    </row>
    <row r="29" spans="1:13" ht="15.5" x14ac:dyDescent="0.35">
      <c r="A29" s="223" t="s">
        <v>213</v>
      </c>
      <c r="B29" s="224" t="s">
        <v>345</v>
      </c>
      <c r="C29" s="224">
        <v>2.5</v>
      </c>
      <c r="D29" s="224">
        <v>1.7000000476837158</v>
      </c>
      <c r="E29" s="224">
        <v>1.1000000238418579</v>
      </c>
      <c r="F29" s="224">
        <v>0.69999998807907104</v>
      </c>
      <c r="G29" s="224">
        <v>78.599998474121094</v>
      </c>
      <c r="H29" s="180"/>
      <c r="I29" s="180"/>
      <c r="J29" s="180"/>
      <c r="K29" s="180"/>
      <c r="L29" s="180"/>
      <c r="M29" s="180"/>
    </row>
    <row r="30" spans="1:13" ht="15.5" x14ac:dyDescent="0.35">
      <c r="A30" s="223" t="s">
        <v>346</v>
      </c>
      <c r="B30" s="224" t="s">
        <v>347</v>
      </c>
      <c r="C30" s="224">
        <v>20.100000381469727</v>
      </c>
      <c r="D30" s="224">
        <v>10.399999618530273</v>
      </c>
      <c r="E30" s="224">
        <v>9.3000001907348633</v>
      </c>
      <c r="F30" s="224">
        <v>5.4000000953674316</v>
      </c>
      <c r="G30" s="224">
        <v>99.5</v>
      </c>
      <c r="H30" s="180"/>
      <c r="I30" s="180"/>
      <c r="J30" s="180"/>
      <c r="K30" s="180"/>
      <c r="L30" s="180"/>
      <c r="M30" s="180"/>
    </row>
    <row r="31" spans="1:13" ht="15.5" x14ac:dyDescent="0.35">
      <c r="A31" s="221" t="s">
        <v>348</v>
      </c>
      <c r="B31" s="235" t="s">
        <v>349</v>
      </c>
      <c r="C31" s="235">
        <v>92.099998474121094</v>
      </c>
      <c r="D31" s="235">
        <v>95.400001525878906</v>
      </c>
      <c r="E31" s="235">
        <v>99.5</v>
      </c>
      <c r="F31" s="235">
        <v>92.300003051757813</v>
      </c>
      <c r="G31" s="235">
        <v>100</v>
      </c>
      <c r="H31" s="180"/>
      <c r="I31" s="180"/>
      <c r="J31" s="180"/>
      <c r="K31" s="180"/>
      <c r="L31" s="180"/>
      <c r="M31" s="180"/>
    </row>
    <row r="32" spans="1:13" ht="15.5" x14ac:dyDescent="0.35">
      <c r="A32" s="221" t="s">
        <v>350</v>
      </c>
      <c r="B32" s="235" t="s">
        <v>351</v>
      </c>
      <c r="C32" s="235">
        <v>7.9000000953674316</v>
      </c>
      <c r="D32" s="235">
        <v>4.5999999046325684</v>
      </c>
      <c r="E32" s="235">
        <v>0.5</v>
      </c>
      <c r="F32" s="235">
        <v>7.6999998092651367</v>
      </c>
      <c r="G32" s="235">
        <v>100</v>
      </c>
      <c r="H32" s="180"/>
      <c r="I32" s="180"/>
      <c r="J32" s="180"/>
      <c r="K32" s="180"/>
      <c r="L32" s="180"/>
      <c r="M32" s="180"/>
    </row>
    <row r="33" spans="1:13" x14ac:dyDescent="0.35">
      <c r="A33" s="231" t="s">
        <v>306</v>
      </c>
      <c r="B33" s="232" t="s">
        <v>306</v>
      </c>
      <c r="C33" s="232" t="s">
        <v>306</v>
      </c>
      <c r="D33" s="232" t="s">
        <v>306</v>
      </c>
      <c r="E33" s="232" t="s">
        <v>306</v>
      </c>
      <c r="F33" s="232" t="s">
        <v>306</v>
      </c>
      <c r="G33" s="219" t="s">
        <v>306</v>
      </c>
      <c r="H33" s="180"/>
      <c r="I33" s="180"/>
      <c r="J33" s="180"/>
      <c r="K33" s="180"/>
      <c r="L33" s="180"/>
      <c r="M33" s="180"/>
    </row>
    <row r="34" spans="1:13" x14ac:dyDescent="0.35">
      <c r="A34" s="230" t="s">
        <v>353</v>
      </c>
      <c r="B34" s="355" t="s">
        <v>354</v>
      </c>
      <c r="C34" s="356"/>
      <c r="D34" s="356"/>
      <c r="E34" s="356"/>
      <c r="F34" s="357"/>
      <c r="G34" s="229" t="s">
        <v>306</v>
      </c>
      <c r="H34" s="180"/>
      <c r="I34" s="180"/>
      <c r="J34" s="180"/>
      <c r="K34" s="180"/>
      <c r="L34" s="180"/>
      <c r="M34" s="180"/>
    </row>
    <row r="35" spans="1:13" x14ac:dyDescent="0.35">
      <c r="A35" s="222" t="s">
        <v>355</v>
      </c>
      <c r="B35" s="224">
        <v>6.5999999046325684</v>
      </c>
      <c r="C35" s="224">
        <v>2.7999999523162842</v>
      </c>
      <c r="D35" s="224">
        <v>4.5999999046325684</v>
      </c>
      <c r="E35" s="224">
        <v>1.2000000476837158</v>
      </c>
      <c r="F35" s="228">
        <v>13.5</v>
      </c>
      <c r="G35" s="229"/>
      <c r="H35" s="180"/>
      <c r="I35" s="180"/>
      <c r="J35" s="180"/>
      <c r="K35" s="180"/>
      <c r="L35" s="180"/>
      <c r="M35" s="180"/>
    </row>
    <row r="36" spans="1:13" x14ac:dyDescent="0.35">
      <c r="A36" s="222" t="s">
        <v>356</v>
      </c>
      <c r="B36" s="224">
        <v>49</v>
      </c>
      <c r="C36" s="224">
        <v>75.099998474121094</v>
      </c>
      <c r="D36" s="224">
        <v>62</v>
      </c>
      <c r="E36" s="224">
        <v>58.5</v>
      </c>
      <c r="F36" s="228">
        <v>44.700000762939453</v>
      </c>
      <c r="G36" s="229"/>
      <c r="H36" s="180"/>
      <c r="I36" s="180"/>
      <c r="J36" s="180"/>
      <c r="K36" s="180"/>
      <c r="L36" s="180"/>
      <c r="M36" s="180"/>
    </row>
    <row r="37" spans="1:13" x14ac:dyDescent="0.35">
      <c r="G37" s="229"/>
      <c r="H37" s="180"/>
      <c r="I37" s="180"/>
      <c r="J37" s="180"/>
      <c r="K37" s="180"/>
      <c r="L37" s="180"/>
      <c r="M37" s="180"/>
    </row>
    <row r="38" spans="1:13" ht="15" customHeight="1" x14ac:dyDescent="0.35">
      <c r="A38" s="221" t="s">
        <v>357</v>
      </c>
      <c r="B38" s="355" t="s">
        <v>358</v>
      </c>
      <c r="C38" s="356"/>
      <c r="D38" s="356"/>
      <c r="E38" s="356"/>
      <c r="F38" s="357"/>
      <c r="G38" s="229" t="s">
        <v>306</v>
      </c>
      <c r="H38" s="180"/>
      <c r="I38" s="180"/>
      <c r="J38" s="180"/>
      <c r="K38" s="180"/>
      <c r="L38" s="180"/>
      <c r="M38" s="180"/>
    </row>
    <row r="39" spans="1:13" x14ac:dyDescent="0.35">
      <c r="A39" s="221" t="s">
        <v>359</v>
      </c>
      <c r="B39" s="181" t="s">
        <v>306</v>
      </c>
      <c r="C39" s="181" t="s">
        <v>306</v>
      </c>
      <c r="D39" s="181" t="s">
        <v>306</v>
      </c>
      <c r="E39" s="181" t="s">
        <v>306</v>
      </c>
      <c r="F39" s="183" t="s">
        <v>306</v>
      </c>
      <c r="G39" s="229" t="s">
        <v>306</v>
      </c>
      <c r="H39" s="180"/>
      <c r="I39" s="180"/>
      <c r="J39" s="180"/>
      <c r="K39" s="180"/>
      <c r="L39" s="180"/>
      <c r="M39" s="180"/>
    </row>
    <row r="40" spans="1:13" x14ac:dyDescent="0.35">
      <c r="A40" s="223" t="s">
        <v>360</v>
      </c>
      <c r="B40" s="224">
        <v>64.300003051757813</v>
      </c>
      <c r="C40" s="225" t="s">
        <v>315</v>
      </c>
      <c r="D40" s="225" t="s">
        <v>315</v>
      </c>
      <c r="E40" s="225" t="s">
        <v>315</v>
      </c>
      <c r="F40" s="227" t="s">
        <v>315</v>
      </c>
      <c r="G40" s="229"/>
      <c r="H40" s="180"/>
      <c r="I40" s="180"/>
      <c r="J40" s="180"/>
      <c r="K40" s="180"/>
      <c r="L40" s="180"/>
      <c r="M40" s="180"/>
    </row>
    <row r="41" spans="1:13" ht="15.5" x14ac:dyDescent="0.35">
      <c r="A41" s="226" t="s">
        <v>313</v>
      </c>
      <c r="B41" s="224" t="s">
        <v>361</v>
      </c>
      <c r="C41" s="224">
        <v>51.700000762939453</v>
      </c>
      <c r="D41" s="224">
        <v>135.30000305175781</v>
      </c>
      <c r="E41" s="224">
        <v>441.70001220703125</v>
      </c>
      <c r="F41" s="228">
        <v>1825.5</v>
      </c>
      <c r="G41" s="229"/>
      <c r="H41" s="180"/>
      <c r="I41" s="180"/>
      <c r="J41" s="180"/>
      <c r="K41" s="180"/>
      <c r="L41" s="180"/>
      <c r="M41" s="180"/>
    </row>
    <row r="42" spans="1:13" ht="15.5" x14ac:dyDescent="0.35">
      <c r="A42" s="226" t="s">
        <v>348</v>
      </c>
      <c r="B42" s="224" t="s">
        <v>362</v>
      </c>
      <c r="C42" s="224">
        <v>35.700000762939453</v>
      </c>
      <c r="D42" s="224">
        <v>105.40000152587891</v>
      </c>
      <c r="E42" s="224">
        <v>377.60000610351563</v>
      </c>
      <c r="F42" s="228">
        <v>1585.800048828125</v>
      </c>
      <c r="G42" s="229"/>
      <c r="H42" s="180"/>
      <c r="I42" s="180"/>
      <c r="J42" s="180"/>
      <c r="K42" s="180"/>
      <c r="L42" s="180"/>
      <c r="M42" s="180"/>
    </row>
    <row r="43" spans="1:13" ht="15.5" x14ac:dyDescent="0.35">
      <c r="A43" s="221" t="s">
        <v>363</v>
      </c>
      <c r="B43" s="235" t="s">
        <v>364</v>
      </c>
      <c r="C43" s="235">
        <v>16</v>
      </c>
      <c r="D43" s="235">
        <v>29.899999618530273</v>
      </c>
      <c r="E43" s="235">
        <v>64.099998474121094</v>
      </c>
      <c r="F43" s="235">
        <v>239.80000305175781</v>
      </c>
      <c r="G43" s="229"/>
      <c r="H43" s="180"/>
      <c r="I43" s="180"/>
      <c r="J43" s="180"/>
      <c r="K43" s="180"/>
      <c r="L43" s="180"/>
      <c r="M43" s="180"/>
    </row>
    <row r="44" spans="1:13" x14ac:dyDescent="0.35">
      <c r="A44" s="221" t="s">
        <v>365</v>
      </c>
      <c r="B44" s="181" t="s">
        <v>306</v>
      </c>
      <c r="C44" s="181" t="s">
        <v>306</v>
      </c>
      <c r="D44" s="181" t="s">
        <v>306</v>
      </c>
      <c r="E44" s="181" t="s">
        <v>306</v>
      </c>
      <c r="F44" s="183" t="s">
        <v>306</v>
      </c>
      <c r="G44" s="229" t="s">
        <v>306</v>
      </c>
      <c r="H44" s="180"/>
      <c r="I44" s="180"/>
      <c r="J44" s="180"/>
      <c r="K44" s="180"/>
      <c r="L44" s="180"/>
      <c r="M44" s="180"/>
    </row>
    <row r="45" spans="1:13" x14ac:dyDescent="0.35">
      <c r="A45" s="223" t="s">
        <v>360</v>
      </c>
      <c r="B45" s="224">
        <v>35.700000762939453</v>
      </c>
      <c r="C45" s="225" t="s">
        <v>315</v>
      </c>
      <c r="D45" s="225" t="s">
        <v>315</v>
      </c>
      <c r="E45" s="225" t="s">
        <v>315</v>
      </c>
      <c r="F45" s="227" t="s">
        <v>315</v>
      </c>
      <c r="G45" s="229"/>
      <c r="H45" s="180"/>
      <c r="I45" s="180"/>
      <c r="J45" s="180"/>
      <c r="K45" s="180"/>
      <c r="L45" s="180"/>
      <c r="M45" s="180"/>
    </row>
    <row r="46" spans="1:13" ht="15.5" x14ac:dyDescent="0.35">
      <c r="A46" s="226" t="s">
        <v>313</v>
      </c>
      <c r="B46" s="224" t="s">
        <v>366</v>
      </c>
      <c r="C46" s="224">
        <v>47</v>
      </c>
      <c r="D46" s="224">
        <v>139.89999389648438</v>
      </c>
      <c r="E46" s="224">
        <v>504</v>
      </c>
      <c r="F46" s="228">
        <v>1707.699951171875</v>
      </c>
      <c r="G46" s="229"/>
      <c r="H46" s="180"/>
      <c r="I46" s="180"/>
      <c r="J46" s="180"/>
      <c r="K46" s="180"/>
      <c r="L46" s="180"/>
      <c r="M46" s="180"/>
    </row>
    <row r="47" spans="1:13" ht="15.5" x14ac:dyDescent="0.35">
      <c r="A47" s="226" t="s">
        <v>348</v>
      </c>
      <c r="B47" s="224" t="s">
        <v>367</v>
      </c>
      <c r="C47" s="224">
        <v>70.099998474121094</v>
      </c>
      <c r="D47" s="224">
        <v>163.60000610351563</v>
      </c>
      <c r="E47" s="224">
        <v>588</v>
      </c>
      <c r="F47" s="228">
        <v>1855.300048828125</v>
      </c>
      <c r="G47" s="229"/>
      <c r="H47" s="180"/>
      <c r="I47" s="180"/>
      <c r="J47" s="180"/>
      <c r="K47" s="180"/>
      <c r="L47" s="180"/>
      <c r="M47" s="180"/>
    </row>
    <row r="48" spans="1:13" ht="15" customHeight="1" x14ac:dyDescent="0.35">
      <c r="A48" s="221" t="s">
        <v>368</v>
      </c>
      <c r="B48" s="235" t="s">
        <v>387</v>
      </c>
      <c r="C48" s="235">
        <v>-23.100000381469727</v>
      </c>
      <c r="D48" s="235">
        <v>-23.700000762939453</v>
      </c>
      <c r="E48" s="235">
        <v>-83.900001525878906</v>
      </c>
      <c r="F48" s="235">
        <v>-147.69999694824219</v>
      </c>
      <c r="G48" s="229"/>
      <c r="H48" s="180"/>
      <c r="I48" s="180"/>
      <c r="J48" s="180"/>
      <c r="K48" s="180"/>
      <c r="L48" s="180"/>
      <c r="M48" s="180"/>
    </row>
    <row r="49" spans="1:13" x14ac:dyDescent="0.35">
      <c r="A49" s="180" t="s">
        <v>306</v>
      </c>
      <c r="B49" s="180"/>
      <c r="C49" s="180"/>
      <c r="D49" s="180"/>
      <c r="E49" s="180"/>
      <c r="F49" s="180"/>
      <c r="G49" s="180"/>
      <c r="H49" s="180"/>
      <c r="I49" s="180"/>
      <c r="J49" s="180"/>
      <c r="K49" s="180"/>
      <c r="L49" s="180"/>
      <c r="M49" s="180"/>
    </row>
    <row r="50" spans="1:13" x14ac:dyDescent="0.35">
      <c r="A50" s="182" t="s">
        <v>386</v>
      </c>
      <c r="B50" s="240" t="s">
        <v>385</v>
      </c>
      <c r="C50" s="241"/>
      <c r="D50" s="241"/>
      <c r="E50" s="241"/>
      <c r="F50" s="241"/>
      <c r="G50" s="241"/>
      <c r="H50" s="241"/>
      <c r="I50" s="242"/>
      <c r="J50" s="180"/>
      <c r="K50" s="180"/>
      <c r="L50" s="180"/>
      <c r="M50" s="180"/>
    </row>
    <row r="51" spans="1:13" x14ac:dyDescent="0.35"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</row>
    <row r="52" spans="1:13" x14ac:dyDescent="0.35">
      <c r="A52" s="220" t="s">
        <v>369</v>
      </c>
      <c r="I52" s="180"/>
      <c r="J52" s="180"/>
      <c r="K52" s="180"/>
      <c r="L52" s="180"/>
      <c r="M52" s="180"/>
    </row>
    <row r="53" spans="1:13" x14ac:dyDescent="0.35">
      <c r="A53" s="221" t="s">
        <v>370</v>
      </c>
      <c r="B53" s="358" t="s">
        <v>371</v>
      </c>
      <c r="C53" s="358"/>
      <c r="D53" s="358"/>
      <c r="E53" s="358"/>
      <c r="F53" s="358"/>
      <c r="G53" s="358"/>
      <c r="H53" s="358"/>
      <c r="I53" s="180"/>
      <c r="J53" s="180"/>
      <c r="K53" s="180"/>
      <c r="L53" s="180"/>
      <c r="M53" s="180"/>
    </row>
    <row r="54" spans="1:13" x14ac:dyDescent="0.35">
      <c r="A54" s="221" t="s">
        <v>372</v>
      </c>
      <c r="B54" s="358" t="s">
        <v>373</v>
      </c>
      <c r="C54" s="358"/>
      <c r="D54" s="358"/>
      <c r="E54" s="358"/>
      <c r="F54" s="358"/>
      <c r="G54" s="358"/>
      <c r="H54" s="358"/>
      <c r="I54" s="180"/>
      <c r="J54" s="180"/>
      <c r="K54" s="180"/>
      <c r="L54" s="180"/>
      <c r="M54" s="180"/>
    </row>
    <row r="55" spans="1:13" x14ac:dyDescent="0.35">
      <c r="A55" s="221" t="s">
        <v>374</v>
      </c>
      <c r="B55" s="358" t="s">
        <v>375</v>
      </c>
      <c r="C55" s="358"/>
      <c r="D55" s="358"/>
      <c r="E55" s="358"/>
      <c r="F55" s="358"/>
      <c r="G55" s="358"/>
      <c r="H55" s="358"/>
      <c r="J55" s="180"/>
      <c r="K55" s="180"/>
      <c r="L55" s="180"/>
      <c r="M55" s="180"/>
    </row>
    <row r="56" spans="1:13" x14ac:dyDescent="0.35">
      <c r="A56" s="221" t="s">
        <v>376</v>
      </c>
      <c r="B56" s="358" t="s">
        <v>313</v>
      </c>
      <c r="C56" s="358"/>
      <c r="D56" s="358"/>
      <c r="E56" s="358"/>
      <c r="F56" s="358"/>
      <c r="G56" s="358"/>
      <c r="H56" s="358"/>
      <c r="I56" s="180"/>
      <c r="J56" s="180"/>
      <c r="K56" s="180"/>
      <c r="L56" s="180"/>
      <c r="M56" s="180"/>
    </row>
    <row r="57" spans="1:13" x14ac:dyDescent="0.35">
      <c r="A57" s="221" t="s">
        <v>377</v>
      </c>
      <c r="B57" s="358" t="s">
        <v>378</v>
      </c>
      <c r="C57" s="358"/>
      <c r="D57" s="358"/>
      <c r="E57" s="358"/>
      <c r="F57" s="358"/>
      <c r="G57" s="358"/>
      <c r="H57" s="358"/>
      <c r="I57" s="180"/>
      <c r="J57" s="180"/>
      <c r="K57" s="180"/>
      <c r="L57" s="180"/>
      <c r="M57" s="180"/>
    </row>
    <row r="58" spans="1:13" x14ac:dyDescent="0.35">
      <c r="A58" s="221" t="s">
        <v>379</v>
      </c>
      <c r="B58" s="358">
        <v>2023</v>
      </c>
      <c r="C58" s="358"/>
      <c r="D58" s="358"/>
      <c r="E58" s="358"/>
      <c r="F58" s="358"/>
      <c r="G58" s="358"/>
      <c r="H58" s="358"/>
      <c r="I58" s="180"/>
      <c r="J58" s="180"/>
      <c r="K58" s="180"/>
      <c r="L58" s="180"/>
      <c r="M58" s="180"/>
    </row>
    <row r="59" spans="1:13" x14ac:dyDescent="0.35">
      <c r="A59" s="221" t="s">
        <v>380</v>
      </c>
      <c r="B59" s="358" t="s">
        <v>381</v>
      </c>
      <c r="C59" s="358"/>
      <c r="D59" s="358"/>
      <c r="E59" s="358"/>
      <c r="F59" s="358"/>
      <c r="G59" s="358"/>
      <c r="H59" s="358"/>
      <c r="I59" s="180"/>
      <c r="J59" s="180"/>
      <c r="K59" s="180"/>
      <c r="L59" s="180"/>
      <c r="M59" s="180"/>
    </row>
    <row r="60" spans="1:13" x14ac:dyDescent="0.35">
      <c r="J60" s="180"/>
      <c r="K60" s="180"/>
      <c r="L60" s="180"/>
      <c r="M60" s="180"/>
    </row>
    <row r="61" spans="1:13" x14ac:dyDescent="0.35">
      <c r="A61" s="217" t="s">
        <v>382</v>
      </c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</row>
    <row r="62" spans="1:13" ht="63.5" x14ac:dyDescent="0.35">
      <c r="A62" s="223" t="s">
        <v>383</v>
      </c>
      <c r="B62" s="180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0"/>
    </row>
    <row r="63" spans="1:13" x14ac:dyDescent="0.35">
      <c r="J63" s="180"/>
      <c r="K63" s="180"/>
      <c r="L63" s="180"/>
      <c r="M63" s="180"/>
    </row>
    <row r="64" spans="1:13" x14ac:dyDescent="0.35">
      <c r="J64" s="180"/>
      <c r="K64" s="180"/>
      <c r="L64" s="180"/>
      <c r="M64" s="180"/>
    </row>
    <row r="65" spans="10:13" x14ac:dyDescent="0.35">
      <c r="J65" s="180"/>
      <c r="K65" s="180"/>
      <c r="L65" s="180"/>
      <c r="M65" s="180"/>
    </row>
    <row r="66" spans="10:13" x14ac:dyDescent="0.35">
      <c r="J66" s="180"/>
      <c r="K66" s="180"/>
      <c r="L66" s="180"/>
      <c r="M66" s="180"/>
    </row>
    <row r="67" spans="10:13" x14ac:dyDescent="0.35">
      <c r="J67" s="180"/>
      <c r="K67" s="180"/>
      <c r="L67" s="180"/>
      <c r="M67" s="180"/>
    </row>
    <row r="68" spans="10:13" x14ac:dyDescent="0.35">
      <c r="J68" s="180"/>
      <c r="K68" s="180"/>
      <c r="L68" s="180"/>
      <c r="M68" s="180"/>
    </row>
    <row r="69" spans="10:13" x14ac:dyDescent="0.35">
      <c r="J69" s="180"/>
      <c r="K69" s="180"/>
      <c r="L69" s="180"/>
      <c r="M69" s="180"/>
    </row>
    <row r="70" spans="10:13" x14ac:dyDescent="0.35">
      <c r="J70" s="180"/>
      <c r="K70" s="180"/>
      <c r="L70" s="180"/>
      <c r="M70" s="180"/>
    </row>
    <row r="71" spans="10:13" x14ac:dyDescent="0.35">
      <c r="J71" s="180"/>
      <c r="K71" s="180"/>
      <c r="L71" s="180"/>
      <c r="M71" s="180"/>
    </row>
    <row r="72" spans="10:13" x14ac:dyDescent="0.35">
      <c r="J72" s="180"/>
      <c r="K72" s="180"/>
      <c r="L72" s="180"/>
      <c r="M72" s="180"/>
    </row>
    <row r="73" spans="10:13" x14ac:dyDescent="0.35">
      <c r="J73" s="180"/>
      <c r="K73" s="180"/>
      <c r="L73" s="180"/>
      <c r="M73" s="180"/>
    </row>
    <row r="74" spans="10:13" x14ac:dyDescent="0.35">
      <c r="J74" s="180"/>
      <c r="K74" s="180"/>
      <c r="L74" s="180"/>
      <c r="M74" s="180"/>
    </row>
    <row r="75" spans="10:13" x14ac:dyDescent="0.35">
      <c r="J75" s="180"/>
      <c r="K75" s="180"/>
      <c r="L75" s="180"/>
      <c r="M75" s="180"/>
    </row>
    <row r="76" spans="10:13" x14ac:dyDescent="0.35">
      <c r="J76" s="180"/>
      <c r="K76" s="180"/>
      <c r="L76" s="180"/>
      <c r="M76" s="180"/>
    </row>
    <row r="77" spans="10:13" x14ac:dyDescent="0.35">
      <c r="J77" s="180"/>
      <c r="K77" s="180"/>
      <c r="L77" s="180"/>
      <c r="M77" s="180"/>
    </row>
    <row r="78" spans="10:13" x14ac:dyDescent="0.35">
      <c r="J78" s="180"/>
      <c r="K78" s="180"/>
      <c r="L78" s="180"/>
      <c r="M78" s="180"/>
    </row>
    <row r="79" spans="10:13" x14ac:dyDescent="0.35">
      <c r="J79" s="180"/>
      <c r="K79" s="180"/>
      <c r="L79" s="180"/>
      <c r="M79" s="180"/>
    </row>
    <row r="81" spans="10:13" x14ac:dyDescent="0.35">
      <c r="J81" s="180"/>
      <c r="K81" s="180"/>
      <c r="L81" s="180"/>
      <c r="M81" s="180"/>
    </row>
    <row r="82" spans="10:13" x14ac:dyDescent="0.35">
      <c r="J82" s="180"/>
      <c r="K82" s="180"/>
      <c r="L82" s="180"/>
      <c r="M82" s="180"/>
    </row>
    <row r="83" spans="10:13" x14ac:dyDescent="0.35">
      <c r="J83" s="180"/>
      <c r="K83" s="180"/>
      <c r="L83" s="180"/>
      <c r="M83" s="180"/>
    </row>
    <row r="84" spans="10:13" x14ac:dyDescent="0.35">
      <c r="J84" s="180"/>
      <c r="K84" s="180"/>
      <c r="L84" s="180"/>
      <c r="M84" s="180"/>
    </row>
    <row r="85" spans="10:13" x14ac:dyDescent="0.35">
      <c r="J85" s="180"/>
      <c r="K85" s="180"/>
      <c r="L85" s="180"/>
      <c r="M85" s="180"/>
    </row>
    <row r="86" spans="10:13" ht="33" customHeight="1" x14ac:dyDescent="0.35">
      <c r="J86" s="180"/>
      <c r="K86" s="180"/>
      <c r="L86" s="180"/>
      <c r="M86" s="180"/>
    </row>
    <row r="87" spans="10:13" ht="67" customHeight="1" x14ac:dyDescent="0.35">
      <c r="J87" s="180"/>
      <c r="K87" s="180"/>
      <c r="L87" s="180"/>
      <c r="M87" s="180"/>
    </row>
  </sheetData>
  <mergeCells count="11">
    <mergeCell ref="B54:H54"/>
    <mergeCell ref="B57:H57"/>
    <mergeCell ref="B58:H58"/>
    <mergeCell ref="B55:H55"/>
    <mergeCell ref="B59:H59"/>
    <mergeCell ref="B56:H56"/>
    <mergeCell ref="A1:G1"/>
    <mergeCell ref="B10:G10"/>
    <mergeCell ref="B34:F34"/>
    <mergeCell ref="B53:H53"/>
    <mergeCell ref="B38:F38"/>
  </mergeCells>
  <pageMargins left="0.38" right="0.25" top="0.75" bottom="0.75" header="0.3" footer="0.3"/>
  <pageSetup scale="64" orientation="portrait" r:id="rId1"/>
  <headerFooter>
    <oddFooter>&amp;LPrepared by: Miraj Sangani&amp;CNAICS%&amp;R&amp;P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1011-75A4-489C-BA28-FFCE03F6BEB0}">
  <sheetPr>
    <tabColor theme="0" tint="-0.499984740745262"/>
    <pageSetUpPr fitToPage="1"/>
  </sheetPr>
  <dimension ref="A1:M70"/>
  <sheetViews>
    <sheetView zoomScaleNormal="100" zoomScalePageLayoutView="55" workbookViewId="0">
      <selection sqref="A1:G1"/>
    </sheetView>
  </sheetViews>
  <sheetFormatPr defaultRowHeight="14.5" x14ac:dyDescent="0.35"/>
  <cols>
    <col min="1" max="1" width="40.7265625" customWidth="1"/>
    <col min="2" max="2" width="11.6328125" customWidth="1"/>
    <col min="3" max="7" width="15" customWidth="1"/>
  </cols>
  <sheetData>
    <row r="1" spans="1:13" ht="15" thickBot="1" x14ac:dyDescent="0.4">
      <c r="A1" s="349" t="s">
        <v>412</v>
      </c>
      <c r="B1" s="350"/>
      <c r="C1" s="350"/>
      <c r="D1" s="350"/>
      <c r="E1" s="350"/>
      <c r="F1" s="350"/>
      <c r="G1" s="351"/>
    </row>
    <row r="3" spans="1:13" ht="14.5" customHeight="1" x14ac:dyDescent="0.35">
      <c r="A3" s="218"/>
      <c r="F3" s="180"/>
      <c r="G3" s="180"/>
      <c r="H3" s="180"/>
      <c r="I3" s="180"/>
      <c r="J3" s="180"/>
      <c r="K3" s="180"/>
      <c r="L3" s="180"/>
      <c r="M3" s="180"/>
    </row>
    <row r="4" spans="1:13" ht="39.5" x14ac:dyDescent="0.35">
      <c r="A4" s="181"/>
      <c r="B4" s="221" t="s">
        <v>300</v>
      </c>
      <c r="C4" s="221" t="s">
        <v>301</v>
      </c>
      <c r="D4" s="221" t="s">
        <v>302</v>
      </c>
      <c r="E4" s="221" t="s">
        <v>303</v>
      </c>
      <c r="F4" s="221" t="s">
        <v>304</v>
      </c>
      <c r="G4" s="221" t="s">
        <v>305</v>
      </c>
      <c r="H4" s="180"/>
      <c r="I4" s="180"/>
      <c r="J4" s="180"/>
      <c r="K4" s="180"/>
      <c r="L4" s="180"/>
      <c r="M4" s="180"/>
    </row>
    <row r="5" spans="1:13" x14ac:dyDescent="0.35">
      <c r="A5" s="181" t="s">
        <v>306</v>
      </c>
      <c r="B5" s="181" t="s">
        <v>306</v>
      </c>
      <c r="C5" s="181" t="s">
        <v>306</v>
      </c>
      <c r="D5" s="181" t="s">
        <v>306</v>
      </c>
      <c r="E5" s="181" t="s">
        <v>306</v>
      </c>
      <c r="F5" s="181" t="s">
        <v>306</v>
      </c>
      <c r="G5" s="181" t="s">
        <v>306</v>
      </c>
      <c r="H5" s="180"/>
      <c r="I5" s="180"/>
      <c r="J5" s="180"/>
      <c r="K5" s="180"/>
      <c r="L5" s="180"/>
      <c r="M5" s="180"/>
    </row>
    <row r="6" spans="1:13" x14ac:dyDescent="0.35">
      <c r="A6" s="222" t="s">
        <v>307</v>
      </c>
      <c r="B6" s="181">
        <v>182</v>
      </c>
      <c r="C6" s="181" t="s">
        <v>306</v>
      </c>
      <c r="D6" s="181" t="s">
        <v>306</v>
      </c>
      <c r="E6" s="181" t="s">
        <v>306</v>
      </c>
      <c r="F6" s="181" t="s">
        <v>306</v>
      </c>
      <c r="G6" s="181" t="s">
        <v>306</v>
      </c>
      <c r="H6" s="180"/>
      <c r="I6" s="180"/>
      <c r="J6" s="180"/>
      <c r="K6" s="180"/>
      <c r="L6" s="180"/>
      <c r="M6" s="180"/>
    </row>
    <row r="7" spans="1:13" x14ac:dyDescent="0.35">
      <c r="A7" s="222" t="s">
        <v>308</v>
      </c>
      <c r="B7" s="181" t="s">
        <v>306</v>
      </c>
      <c r="C7" s="181" t="s">
        <v>306</v>
      </c>
      <c r="D7" s="181" t="s">
        <v>306</v>
      </c>
      <c r="E7" s="181" t="s">
        <v>306</v>
      </c>
      <c r="F7" s="181" t="s">
        <v>306</v>
      </c>
      <c r="G7" s="181" t="s">
        <v>306</v>
      </c>
      <c r="H7" s="180"/>
      <c r="I7" s="180"/>
      <c r="J7" s="180"/>
      <c r="K7" s="180"/>
      <c r="L7" s="180"/>
      <c r="M7" s="180"/>
    </row>
    <row r="8" spans="1:13" x14ac:dyDescent="0.35">
      <c r="A8" s="223" t="s">
        <v>309</v>
      </c>
      <c r="B8" s="181">
        <v>30</v>
      </c>
      <c r="C8" s="181">
        <v>30</v>
      </c>
      <c r="D8" s="181">
        <v>74</v>
      </c>
      <c r="E8" s="181">
        <v>214</v>
      </c>
      <c r="F8" s="181">
        <v>722</v>
      </c>
      <c r="G8" s="181" t="s">
        <v>306</v>
      </c>
      <c r="H8" s="180"/>
      <c r="I8" s="180"/>
      <c r="J8" s="180"/>
      <c r="K8" s="180"/>
      <c r="L8" s="180"/>
      <c r="M8" s="180"/>
    </row>
    <row r="9" spans="1:13" x14ac:dyDescent="0.35">
      <c r="A9" s="233" t="s">
        <v>310</v>
      </c>
      <c r="B9" s="234">
        <v>5000</v>
      </c>
      <c r="C9" s="234">
        <v>74</v>
      </c>
      <c r="D9" s="234">
        <v>214</v>
      </c>
      <c r="E9" s="234">
        <v>722</v>
      </c>
      <c r="F9" s="234">
        <v>5000</v>
      </c>
      <c r="G9" s="234" t="s">
        <v>306</v>
      </c>
      <c r="H9" s="180"/>
      <c r="I9" s="180"/>
      <c r="J9" s="180"/>
      <c r="K9" s="180"/>
      <c r="L9" s="180"/>
      <c r="M9" s="180"/>
    </row>
    <row r="10" spans="1:13" x14ac:dyDescent="0.35">
      <c r="A10" s="231" t="s">
        <v>306</v>
      </c>
      <c r="B10" s="231" t="s">
        <v>306</v>
      </c>
      <c r="C10" s="231" t="s">
        <v>306</v>
      </c>
      <c r="D10" s="231" t="s">
        <v>306</v>
      </c>
      <c r="E10" s="231" t="s">
        <v>306</v>
      </c>
      <c r="F10" s="231" t="s">
        <v>306</v>
      </c>
      <c r="G10" s="231" t="s">
        <v>306</v>
      </c>
      <c r="H10" s="180"/>
      <c r="I10" s="180"/>
      <c r="J10" s="180"/>
      <c r="K10" s="180"/>
      <c r="L10" s="180"/>
      <c r="M10" s="180"/>
    </row>
    <row r="11" spans="1:13" x14ac:dyDescent="0.35">
      <c r="A11" s="230" t="s">
        <v>311</v>
      </c>
      <c r="B11" s="352" t="s">
        <v>352</v>
      </c>
      <c r="C11" s="353"/>
      <c r="D11" s="353"/>
      <c r="E11" s="353"/>
      <c r="F11" s="353"/>
      <c r="G11" s="354"/>
      <c r="H11" s="180"/>
      <c r="I11" s="180"/>
      <c r="J11" s="180"/>
      <c r="K11" s="180"/>
      <c r="L11" s="180"/>
      <c r="M11" s="180"/>
    </row>
    <row r="12" spans="1:13" ht="15.5" x14ac:dyDescent="0.35">
      <c r="A12" s="221" t="s">
        <v>313</v>
      </c>
      <c r="B12" s="235" t="s">
        <v>402</v>
      </c>
      <c r="C12" s="235">
        <v>50.200000762939453</v>
      </c>
      <c r="D12" s="235">
        <v>137.30000305175781</v>
      </c>
      <c r="E12" s="235">
        <v>467.79998779296875</v>
      </c>
      <c r="F12" s="235">
        <v>1794.5</v>
      </c>
      <c r="G12" s="235">
        <v>100</v>
      </c>
      <c r="H12" s="180"/>
      <c r="I12" s="180"/>
      <c r="J12" s="180"/>
      <c r="K12" s="180"/>
      <c r="L12" s="180"/>
      <c r="M12" s="180"/>
    </row>
    <row r="13" spans="1:13" x14ac:dyDescent="0.35">
      <c r="A13" s="223" t="s">
        <v>314</v>
      </c>
      <c r="B13" s="225" t="s">
        <v>315</v>
      </c>
      <c r="C13" s="225" t="s">
        <v>315</v>
      </c>
      <c r="D13" s="225" t="s">
        <v>315</v>
      </c>
      <c r="E13" s="225" t="s">
        <v>315</v>
      </c>
      <c r="F13" s="225" t="s">
        <v>315</v>
      </c>
      <c r="G13" s="225" t="s">
        <v>315</v>
      </c>
      <c r="H13" s="180"/>
      <c r="I13" s="180"/>
      <c r="J13" s="180"/>
      <c r="K13" s="180"/>
      <c r="L13" s="180"/>
      <c r="M13" s="180"/>
    </row>
    <row r="14" spans="1:13" x14ac:dyDescent="0.35">
      <c r="A14" s="223" t="s">
        <v>316</v>
      </c>
      <c r="B14" s="225" t="s">
        <v>315</v>
      </c>
      <c r="C14" s="225" t="s">
        <v>315</v>
      </c>
      <c r="D14" s="225" t="s">
        <v>315</v>
      </c>
      <c r="E14" s="225" t="s">
        <v>315</v>
      </c>
      <c r="F14" s="225" t="s">
        <v>315</v>
      </c>
      <c r="G14" s="225" t="s">
        <v>315</v>
      </c>
      <c r="H14" s="180"/>
      <c r="I14" s="180"/>
      <c r="J14" s="180"/>
      <c r="K14" s="180"/>
      <c r="L14" s="180"/>
      <c r="M14" s="180"/>
    </row>
    <row r="15" spans="1:13" ht="15.5" x14ac:dyDescent="0.35">
      <c r="A15" s="221" t="s">
        <v>317</v>
      </c>
      <c r="B15" s="235" t="s">
        <v>403</v>
      </c>
      <c r="C15" s="235">
        <v>12.5</v>
      </c>
      <c r="D15" s="235">
        <v>52.099998474121094</v>
      </c>
      <c r="E15" s="235">
        <v>194.10000610351563</v>
      </c>
      <c r="F15" s="235">
        <v>991.5</v>
      </c>
      <c r="G15" s="235">
        <v>89</v>
      </c>
      <c r="H15" s="180"/>
      <c r="I15" s="180"/>
      <c r="J15" s="180"/>
      <c r="K15" s="180"/>
      <c r="L15" s="180"/>
      <c r="M15" s="180"/>
    </row>
    <row r="16" spans="1:13" ht="15.5" x14ac:dyDescent="0.35">
      <c r="A16" s="223" t="s">
        <v>318</v>
      </c>
      <c r="B16" s="224" t="s">
        <v>388</v>
      </c>
      <c r="C16" s="224">
        <v>1</v>
      </c>
      <c r="D16" s="224">
        <v>8.6999998092651367</v>
      </c>
      <c r="E16" s="224">
        <v>36.799999237060547</v>
      </c>
      <c r="F16" s="224">
        <v>296.5</v>
      </c>
      <c r="G16" s="224">
        <v>40.700000762939453</v>
      </c>
      <c r="H16" s="180"/>
      <c r="I16" s="180"/>
      <c r="J16" s="180"/>
      <c r="K16" s="180"/>
      <c r="L16" s="180"/>
      <c r="M16" s="180"/>
    </row>
    <row r="17" spans="1:13" ht="15.5" x14ac:dyDescent="0.35">
      <c r="A17" s="223" t="s">
        <v>320</v>
      </c>
      <c r="B17" s="224" t="s">
        <v>389</v>
      </c>
      <c r="C17" s="224">
        <v>11.699999809265137</v>
      </c>
      <c r="D17" s="224">
        <v>42.599998474121094</v>
      </c>
      <c r="E17" s="224">
        <v>160.30000305175781</v>
      </c>
      <c r="F17" s="224">
        <v>711.70001220703125</v>
      </c>
      <c r="G17" s="224">
        <v>89.599998474121094</v>
      </c>
      <c r="H17" s="180"/>
      <c r="I17" s="180"/>
      <c r="J17" s="180"/>
      <c r="K17" s="180"/>
      <c r="L17" s="180"/>
      <c r="M17" s="180"/>
    </row>
    <row r="18" spans="1:13" ht="15.5" x14ac:dyDescent="0.35">
      <c r="A18" s="223" t="s">
        <v>322</v>
      </c>
      <c r="B18" s="224" t="s">
        <v>390</v>
      </c>
      <c r="C18" s="224">
        <v>6.5999999046325684</v>
      </c>
      <c r="D18" s="224">
        <v>5.1999998092651367</v>
      </c>
      <c r="E18" s="224">
        <v>39.700000762939453</v>
      </c>
      <c r="F18" s="224">
        <v>227.10000610351563</v>
      </c>
      <c r="G18" s="224">
        <v>67</v>
      </c>
      <c r="H18" s="180"/>
      <c r="I18" s="180"/>
      <c r="J18" s="180"/>
      <c r="K18" s="180"/>
      <c r="L18" s="180"/>
      <c r="M18" s="180"/>
    </row>
    <row r="19" spans="1:13" ht="15.5" x14ac:dyDescent="0.35">
      <c r="A19" s="223" t="s">
        <v>324</v>
      </c>
      <c r="B19" s="224" t="s">
        <v>391</v>
      </c>
      <c r="C19" s="224">
        <v>6.8000001907348633</v>
      </c>
      <c r="D19" s="224">
        <v>4.3000001907348633</v>
      </c>
      <c r="E19" s="224">
        <v>42.700000762939453</v>
      </c>
      <c r="F19" s="224">
        <v>243.80000305175781</v>
      </c>
      <c r="G19" s="224">
        <v>64.300003051757813</v>
      </c>
      <c r="H19" s="180"/>
      <c r="I19" s="180"/>
      <c r="J19" s="180"/>
      <c r="K19" s="180"/>
      <c r="L19" s="180"/>
      <c r="M19" s="180"/>
    </row>
    <row r="20" spans="1:13" ht="15.5" x14ac:dyDescent="0.35">
      <c r="A20" s="221" t="s">
        <v>326</v>
      </c>
      <c r="B20" s="235" t="s">
        <v>404</v>
      </c>
      <c r="C20" s="235">
        <v>33.700000762939453</v>
      </c>
      <c r="D20" s="235">
        <v>78.900001525878906</v>
      </c>
      <c r="E20" s="235">
        <v>271.29998779296875</v>
      </c>
      <c r="F20" s="235">
        <v>665.4000244140625</v>
      </c>
      <c r="G20" s="235">
        <v>100</v>
      </c>
      <c r="H20" s="180"/>
      <c r="I20" s="180"/>
      <c r="J20" s="180"/>
      <c r="K20" s="180"/>
      <c r="L20" s="180"/>
      <c r="M20" s="180"/>
    </row>
    <row r="21" spans="1:13" ht="15.5" x14ac:dyDescent="0.35">
      <c r="A21" s="223" t="s">
        <v>328</v>
      </c>
      <c r="B21" s="224" t="s">
        <v>392</v>
      </c>
      <c r="C21" s="224">
        <v>6</v>
      </c>
      <c r="D21" s="224">
        <v>26.600000381469727</v>
      </c>
      <c r="E21" s="224">
        <v>110.5</v>
      </c>
      <c r="F21" s="224">
        <v>290.79998779296875</v>
      </c>
      <c r="G21" s="224">
        <v>65.900001525878906</v>
      </c>
      <c r="H21" s="180"/>
      <c r="I21" s="180"/>
      <c r="J21" s="180"/>
      <c r="K21" s="180"/>
      <c r="L21" s="180"/>
      <c r="M21" s="180"/>
    </row>
    <row r="22" spans="1:13" ht="15.5" x14ac:dyDescent="0.35">
      <c r="A22" s="223" t="s">
        <v>330</v>
      </c>
      <c r="B22" s="224" t="s">
        <v>393</v>
      </c>
      <c r="C22" s="224">
        <v>3</v>
      </c>
      <c r="D22" s="224">
        <v>6.8000001907348633</v>
      </c>
      <c r="E22" s="224">
        <v>21.700000762939453</v>
      </c>
      <c r="F22" s="224">
        <v>41.700000762939453</v>
      </c>
      <c r="G22" s="224">
        <v>76.900001525878906</v>
      </c>
      <c r="H22" s="180"/>
      <c r="I22" s="180"/>
      <c r="J22" s="180"/>
      <c r="K22" s="180"/>
      <c r="L22" s="180"/>
      <c r="M22" s="180"/>
    </row>
    <row r="23" spans="1:13" ht="15.5" x14ac:dyDescent="0.35">
      <c r="A23" s="223" t="s">
        <v>332</v>
      </c>
      <c r="B23" s="224" t="s">
        <v>394</v>
      </c>
      <c r="C23" s="224">
        <v>0.80000001192092896</v>
      </c>
      <c r="D23" s="224">
        <v>2.2999999523162842</v>
      </c>
      <c r="E23" s="224">
        <v>7.6999998092651367</v>
      </c>
      <c r="F23" s="224">
        <v>21.299999237060547</v>
      </c>
      <c r="G23" s="224">
        <v>72</v>
      </c>
      <c r="H23" s="180"/>
      <c r="I23" s="180"/>
      <c r="J23" s="180"/>
      <c r="K23" s="180"/>
      <c r="L23" s="180"/>
      <c r="M23" s="180"/>
    </row>
    <row r="24" spans="1:13" ht="15.5" x14ac:dyDescent="0.35">
      <c r="A24" s="223" t="s">
        <v>334</v>
      </c>
      <c r="B24" s="224" t="s">
        <v>395</v>
      </c>
      <c r="C24" s="224">
        <v>2</v>
      </c>
      <c r="D24" s="224">
        <v>3.7999999523162842</v>
      </c>
      <c r="E24" s="224">
        <v>9.1000003814697266</v>
      </c>
      <c r="F24" s="224">
        <v>22.299999237060547</v>
      </c>
      <c r="G24" s="224">
        <v>86.300003051757813</v>
      </c>
      <c r="H24" s="180"/>
      <c r="I24" s="180"/>
      <c r="J24" s="180"/>
      <c r="K24" s="180"/>
      <c r="L24" s="180"/>
      <c r="M24" s="180"/>
    </row>
    <row r="25" spans="1:13" ht="15.5" x14ac:dyDescent="0.35">
      <c r="A25" s="223" t="s">
        <v>249</v>
      </c>
      <c r="B25" s="224" t="s">
        <v>396</v>
      </c>
      <c r="C25" s="224">
        <v>3.7000000476837158</v>
      </c>
      <c r="D25" s="224">
        <v>13.800000190734863</v>
      </c>
      <c r="E25" s="224">
        <v>35.700000762939453</v>
      </c>
      <c r="F25" s="224">
        <v>84.400001525878906</v>
      </c>
      <c r="G25" s="224">
        <v>73.599998474121094</v>
      </c>
      <c r="H25" s="180"/>
      <c r="I25" s="180"/>
      <c r="J25" s="180"/>
      <c r="K25" s="180"/>
      <c r="L25" s="180"/>
      <c r="M25" s="180"/>
    </row>
    <row r="26" spans="1:13" ht="15.5" x14ac:dyDescent="0.35">
      <c r="A26" s="223" t="s">
        <v>337</v>
      </c>
      <c r="B26" s="224" t="s">
        <v>347</v>
      </c>
      <c r="C26" s="224">
        <v>2.2000000476837158</v>
      </c>
      <c r="D26" s="224">
        <v>1.7000000476837158</v>
      </c>
      <c r="E26" s="224">
        <v>11.800000190734863</v>
      </c>
      <c r="F26" s="224">
        <v>11</v>
      </c>
      <c r="G26" s="224">
        <v>48.400001525878906</v>
      </c>
      <c r="H26" s="180"/>
      <c r="I26" s="180"/>
      <c r="J26" s="180"/>
      <c r="K26" s="180"/>
      <c r="L26" s="180"/>
      <c r="M26" s="180"/>
    </row>
    <row r="27" spans="1:13" ht="15.5" x14ac:dyDescent="0.35">
      <c r="A27" s="223" t="s">
        <v>339</v>
      </c>
      <c r="B27" s="224" t="s">
        <v>397</v>
      </c>
      <c r="C27" s="224">
        <v>2.9000000953674316</v>
      </c>
      <c r="D27" s="224">
        <v>2.7999999523162842</v>
      </c>
      <c r="E27" s="224">
        <v>12.199999809265137</v>
      </c>
      <c r="F27" s="224">
        <v>24</v>
      </c>
      <c r="G27" s="224">
        <v>89</v>
      </c>
      <c r="H27" s="180"/>
      <c r="I27" s="180"/>
      <c r="J27" s="180"/>
      <c r="K27" s="180"/>
      <c r="L27" s="180"/>
      <c r="M27" s="180"/>
    </row>
    <row r="28" spans="1:13" ht="15.5" x14ac:dyDescent="0.35">
      <c r="A28" s="223" t="s">
        <v>341</v>
      </c>
      <c r="B28" s="224" t="s">
        <v>398</v>
      </c>
      <c r="C28" s="224">
        <v>1.2000000476837158</v>
      </c>
      <c r="D28" s="224">
        <v>3.4000000953674316</v>
      </c>
      <c r="E28" s="224">
        <v>10.100000381469727</v>
      </c>
      <c r="F28" s="224">
        <v>54.099998474121094</v>
      </c>
      <c r="G28" s="224">
        <v>83.5</v>
      </c>
      <c r="H28" s="180"/>
      <c r="I28" s="180"/>
      <c r="J28" s="180"/>
      <c r="K28" s="180"/>
      <c r="L28" s="180"/>
      <c r="M28" s="180"/>
    </row>
    <row r="29" spans="1:13" ht="15.5" x14ac:dyDescent="0.35">
      <c r="A29" s="223" t="s">
        <v>343</v>
      </c>
      <c r="B29" s="224" t="s">
        <v>331</v>
      </c>
      <c r="C29" s="224">
        <v>0.5</v>
      </c>
      <c r="D29" s="224">
        <v>1.1000000238418579</v>
      </c>
      <c r="E29" s="224">
        <v>3.7000000476837158</v>
      </c>
      <c r="F29" s="224">
        <v>6.8000001907348633</v>
      </c>
      <c r="G29" s="224">
        <v>35.700000762939453</v>
      </c>
      <c r="H29" s="180"/>
      <c r="I29" s="180"/>
      <c r="J29" s="180"/>
      <c r="K29" s="180"/>
      <c r="L29" s="180"/>
      <c r="M29" s="180"/>
    </row>
    <row r="30" spans="1:13" ht="15.5" x14ac:dyDescent="0.35">
      <c r="A30" s="223" t="s">
        <v>213</v>
      </c>
      <c r="B30" s="224" t="s">
        <v>399</v>
      </c>
      <c r="C30" s="224">
        <v>1.2999999523162842</v>
      </c>
      <c r="D30" s="224">
        <v>2.2999999523162842</v>
      </c>
      <c r="E30" s="224">
        <v>5.0999999046325684</v>
      </c>
      <c r="F30" s="224">
        <v>12.399999618530273</v>
      </c>
      <c r="G30" s="224">
        <v>78.599998474121094</v>
      </c>
      <c r="H30" s="180"/>
      <c r="I30" s="180"/>
      <c r="J30" s="180"/>
      <c r="K30" s="180"/>
      <c r="L30" s="180"/>
      <c r="M30" s="180"/>
    </row>
    <row r="31" spans="1:13" ht="15.5" x14ac:dyDescent="0.35">
      <c r="A31" s="223" t="s">
        <v>346</v>
      </c>
      <c r="B31" s="224" t="s">
        <v>400</v>
      </c>
      <c r="C31" s="224">
        <v>10.100000381469727</v>
      </c>
      <c r="D31" s="224">
        <v>14.300000190734863</v>
      </c>
      <c r="E31" s="224">
        <v>43.700000762939453</v>
      </c>
      <c r="F31" s="224">
        <v>96.699996948242188</v>
      </c>
      <c r="G31" s="224">
        <v>99.5</v>
      </c>
      <c r="H31" s="180"/>
      <c r="I31" s="180"/>
      <c r="J31" s="180"/>
      <c r="K31" s="180"/>
      <c r="L31" s="180"/>
      <c r="M31" s="180"/>
    </row>
    <row r="32" spans="1:13" ht="15.5" x14ac:dyDescent="0.35">
      <c r="A32" s="221" t="s">
        <v>348</v>
      </c>
      <c r="B32" s="235" t="s">
        <v>405</v>
      </c>
      <c r="C32" s="235">
        <v>46.299999237060547</v>
      </c>
      <c r="D32" s="235">
        <v>131</v>
      </c>
      <c r="E32" s="235">
        <v>465.5</v>
      </c>
      <c r="F32" s="235">
        <v>1656.9000244140625</v>
      </c>
      <c r="G32" s="235">
        <v>100</v>
      </c>
      <c r="H32" s="180"/>
      <c r="I32" s="180"/>
      <c r="J32" s="180"/>
      <c r="K32" s="180"/>
      <c r="L32" s="180"/>
      <c r="M32" s="180"/>
    </row>
    <row r="33" spans="1:13" ht="15.5" x14ac:dyDescent="0.35">
      <c r="A33" s="221" t="s">
        <v>350</v>
      </c>
      <c r="B33" s="235" t="s">
        <v>406</v>
      </c>
      <c r="C33" s="235">
        <v>4</v>
      </c>
      <c r="D33" s="235">
        <v>6.3000001907348633</v>
      </c>
      <c r="E33" s="235">
        <v>2.2999999523162842</v>
      </c>
      <c r="F33" s="235">
        <v>137.60000610351563</v>
      </c>
      <c r="G33" s="235">
        <v>100</v>
      </c>
      <c r="H33" s="180"/>
      <c r="I33" s="180"/>
      <c r="J33" s="180"/>
      <c r="K33" s="180"/>
      <c r="L33" s="180"/>
      <c r="M33" s="180"/>
    </row>
    <row r="34" spans="1:13" x14ac:dyDescent="0.35">
      <c r="A34" s="180" t="s">
        <v>306</v>
      </c>
      <c r="B34" s="219" t="s">
        <v>306</v>
      </c>
      <c r="C34" s="219" t="s">
        <v>306</v>
      </c>
      <c r="D34" s="219" t="s">
        <v>306</v>
      </c>
      <c r="E34" s="219" t="s">
        <v>306</v>
      </c>
      <c r="F34" s="219" t="s">
        <v>306</v>
      </c>
      <c r="G34" s="219" t="s">
        <v>306</v>
      </c>
      <c r="H34" s="180"/>
      <c r="I34" s="180"/>
      <c r="J34" s="180"/>
      <c r="K34" s="180"/>
      <c r="L34" s="180"/>
      <c r="M34" s="180"/>
    </row>
    <row r="35" spans="1:13" x14ac:dyDescent="0.35">
      <c r="A35" s="221" t="s">
        <v>353</v>
      </c>
      <c r="B35" s="352" t="s">
        <v>354</v>
      </c>
      <c r="C35" s="353"/>
      <c r="D35" s="353"/>
      <c r="E35" s="353"/>
      <c r="F35" s="354"/>
      <c r="G35" s="180" t="s">
        <v>306</v>
      </c>
      <c r="H35" s="180"/>
      <c r="I35" s="180"/>
      <c r="J35" s="180"/>
      <c r="K35" s="180"/>
      <c r="L35" s="180"/>
      <c r="M35" s="180"/>
    </row>
    <row r="36" spans="1:13" x14ac:dyDescent="0.35">
      <c r="A36" s="222" t="s">
        <v>355</v>
      </c>
      <c r="B36" s="224">
        <v>6.5999999046325684</v>
      </c>
      <c r="C36" s="224">
        <v>2.7999999523162842</v>
      </c>
      <c r="D36" s="224">
        <v>4.5999999046325684</v>
      </c>
      <c r="E36" s="224">
        <v>1.2000000476837158</v>
      </c>
      <c r="F36" s="224">
        <v>13.5</v>
      </c>
      <c r="G36" s="180"/>
      <c r="H36" s="180"/>
      <c r="I36" s="180"/>
      <c r="J36" s="180"/>
      <c r="K36" s="180"/>
      <c r="L36" s="180"/>
      <c r="M36" s="180"/>
    </row>
    <row r="37" spans="1:13" x14ac:dyDescent="0.35">
      <c r="A37" s="222" t="s">
        <v>356</v>
      </c>
      <c r="B37" s="224">
        <v>49</v>
      </c>
      <c r="C37" s="224">
        <v>75.099998474121094</v>
      </c>
      <c r="D37" s="224">
        <v>62</v>
      </c>
      <c r="E37" s="224">
        <v>58.5</v>
      </c>
      <c r="F37" s="224">
        <v>44.700000762939453</v>
      </c>
      <c r="G37" s="180"/>
      <c r="H37" s="180"/>
      <c r="I37" s="180"/>
      <c r="J37" s="180"/>
      <c r="K37" s="180"/>
      <c r="L37" s="180"/>
      <c r="M37" s="180"/>
    </row>
    <row r="38" spans="1:13" x14ac:dyDescent="0.35">
      <c r="G38" s="180"/>
      <c r="H38" s="180"/>
      <c r="I38" s="180"/>
      <c r="J38" s="180"/>
      <c r="K38" s="180"/>
      <c r="L38" s="180"/>
      <c r="M38" s="180"/>
    </row>
    <row r="39" spans="1:13" x14ac:dyDescent="0.35">
      <c r="A39" s="221" t="s">
        <v>357</v>
      </c>
      <c r="B39" s="352" t="s">
        <v>358</v>
      </c>
      <c r="C39" s="353"/>
      <c r="D39" s="353"/>
      <c r="E39" s="353"/>
      <c r="F39" s="354"/>
      <c r="G39" s="180" t="s">
        <v>306</v>
      </c>
      <c r="H39" s="180"/>
      <c r="I39" s="180"/>
      <c r="J39" s="180"/>
      <c r="K39" s="180"/>
      <c r="L39" s="180"/>
      <c r="M39" s="180"/>
    </row>
    <row r="40" spans="1:13" x14ac:dyDescent="0.35">
      <c r="A40" s="221" t="s">
        <v>359</v>
      </c>
      <c r="B40" s="181" t="s">
        <v>306</v>
      </c>
      <c r="C40" s="181" t="s">
        <v>306</v>
      </c>
      <c r="D40" s="181" t="s">
        <v>306</v>
      </c>
      <c r="E40" s="181" t="s">
        <v>306</v>
      </c>
      <c r="F40" s="181" t="s">
        <v>306</v>
      </c>
      <c r="G40" s="180" t="s">
        <v>306</v>
      </c>
      <c r="H40" s="180"/>
      <c r="I40" s="180"/>
      <c r="J40" s="180"/>
      <c r="K40" s="180"/>
      <c r="L40" s="180"/>
      <c r="M40" s="180"/>
    </row>
    <row r="41" spans="1:13" x14ac:dyDescent="0.35">
      <c r="A41" s="223" t="s">
        <v>360</v>
      </c>
      <c r="B41" s="224">
        <v>64.300003051757813</v>
      </c>
      <c r="C41" s="225" t="s">
        <v>315</v>
      </c>
      <c r="D41" s="225" t="s">
        <v>315</v>
      </c>
      <c r="E41" s="225" t="s">
        <v>315</v>
      </c>
      <c r="F41" s="225" t="s">
        <v>315</v>
      </c>
      <c r="G41" s="180"/>
      <c r="H41" s="180"/>
      <c r="I41" s="180"/>
      <c r="J41" s="180"/>
      <c r="K41" s="180"/>
      <c r="L41" s="180"/>
      <c r="M41" s="180"/>
    </row>
    <row r="42" spans="1:13" ht="15.5" x14ac:dyDescent="0.35">
      <c r="A42" s="226" t="s">
        <v>313</v>
      </c>
      <c r="B42" s="224" t="s">
        <v>361</v>
      </c>
      <c r="C42" s="224">
        <v>51.700000762939453</v>
      </c>
      <c r="D42" s="224">
        <v>135.30000305175781</v>
      </c>
      <c r="E42" s="224">
        <v>441.70001220703125</v>
      </c>
      <c r="F42" s="224">
        <v>1825.5</v>
      </c>
      <c r="G42" s="180"/>
      <c r="H42" s="180"/>
      <c r="I42" s="180"/>
      <c r="J42" s="180"/>
      <c r="K42" s="180"/>
      <c r="L42" s="180"/>
      <c r="M42" s="180"/>
    </row>
    <row r="43" spans="1:13" ht="15.5" x14ac:dyDescent="0.35">
      <c r="A43" s="226" t="s">
        <v>348</v>
      </c>
      <c r="B43" s="224" t="s">
        <v>362</v>
      </c>
      <c r="C43" s="224">
        <v>35.700000762939453</v>
      </c>
      <c r="D43" s="224">
        <v>105.40000152587891</v>
      </c>
      <c r="E43" s="224">
        <v>377.60000610351563</v>
      </c>
      <c r="F43" s="224">
        <v>1585.800048828125</v>
      </c>
      <c r="G43" s="180"/>
      <c r="H43" s="180"/>
      <c r="I43" s="180"/>
      <c r="J43" s="180"/>
      <c r="K43" s="180"/>
      <c r="L43" s="180"/>
      <c r="M43" s="180"/>
    </row>
    <row r="44" spans="1:13" ht="15.5" x14ac:dyDescent="0.35">
      <c r="A44" s="238" t="s">
        <v>363</v>
      </c>
      <c r="B44" s="235" t="s">
        <v>401</v>
      </c>
      <c r="C44" s="235">
        <v>16</v>
      </c>
      <c r="D44" s="235">
        <v>29.899999618530273</v>
      </c>
      <c r="E44" s="235">
        <v>64.099998474121094</v>
      </c>
      <c r="F44" s="235">
        <v>239.80000305175781</v>
      </c>
      <c r="G44" s="180"/>
      <c r="H44" s="180"/>
      <c r="I44" s="180"/>
      <c r="J44" s="180"/>
      <c r="K44" s="180"/>
      <c r="L44" s="180"/>
      <c r="M44" s="180"/>
    </row>
    <row r="45" spans="1:13" x14ac:dyDescent="0.35">
      <c r="A45" s="221" t="s">
        <v>365</v>
      </c>
      <c r="B45" s="181" t="s">
        <v>306</v>
      </c>
      <c r="C45" s="181" t="s">
        <v>306</v>
      </c>
      <c r="D45" s="181" t="s">
        <v>306</v>
      </c>
      <c r="E45" s="181" t="s">
        <v>306</v>
      </c>
      <c r="F45" s="181" t="s">
        <v>306</v>
      </c>
      <c r="G45" s="180" t="s">
        <v>306</v>
      </c>
      <c r="H45" s="180"/>
      <c r="I45" s="180"/>
      <c r="J45" s="180"/>
      <c r="K45" s="180"/>
      <c r="L45" s="180"/>
      <c r="M45" s="180"/>
    </row>
    <row r="46" spans="1:13" x14ac:dyDescent="0.35">
      <c r="A46" s="223" t="s">
        <v>360</v>
      </c>
      <c r="B46" s="224">
        <v>35.700000762939453</v>
      </c>
      <c r="C46" s="225" t="s">
        <v>315</v>
      </c>
      <c r="D46" s="225" t="s">
        <v>315</v>
      </c>
      <c r="E46" s="225" t="s">
        <v>315</v>
      </c>
      <c r="F46" s="225" t="s">
        <v>315</v>
      </c>
      <c r="G46" s="180"/>
      <c r="H46" s="180"/>
      <c r="I46" s="180"/>
      <c r="J46" s="180"/>
      <c r="K46" s="180"/>
      <c r="L46" s="180"/>
      <c r="M46" s="180"/>
    </row>
    <row r="47" spans="1:13" ht="15.5" x14ac:dyDescent="0.35">
      <c r="A47" s="226" t="s">
        <v>313</v>
      </c>
      <c r="B47" s="224" t="s">
        <v>366</v>
      </c>
      <c r="C47" s="224">
        <v>47</v>
      </c>
      <c r="D47" s="224">
        <v>139.89999389648438</v>
      </c>
      <c r="E47" s="224">
        <v>504</v>
      </c>
      <c r="F47" s="224">
        <v>1707.699951171875</v>
      </c>
      <c r="G47" s="180"/>
      <c r="H47" s="180"/>
      <c r="I47" s="180"/>
      <c r="J47" s="180"/>
      <c r="K47" s="180"/>
      <c r="L47" s="180"/>
      <c r="M47" s="180"/>
    </row>
    <row r="48" spans="1:13" ht="15.5" x14ac:dyDescent="0.35">
      <c r="A48" s="226" t="s">
        <v>348</v>
      </c>
      <c r="B48" s="224" t="s">
        <v>367</v>
      </c>
      <c r="C48" s="224">
        <v>70.099998474121094</v>
      </c>
      <c r="D48" s="224">
        <v>163.60000610351563</v>
      </c>
      <c r="E48" s="224">
        <v>588</v>
      </c>
      <c r="F48" s="224">
        <v>1855.300048828125</v>
      </c>
      <c r="G48" s="180"/>
      <c r="H48" s="180"/>
      <c r="I48" s="180"/>
      <c r="J48" s="180"/>
      <c r="K48" s="180"/>
      <c r="L48" s="180"/>
      <c r="M48" s="180"/>
    </row>
    <row r="49" spans="1:13" ht="15.5" x14ac:dyDescent="0.35">
      <c r="A49" s="238" t="s">
        <v>368</v>
      </c>
      <c r="B49" s="235" t="s">
        <v>387</v>
      </c>
      <c r="C49" s="235">
        <v>-23.100000381469727</v>
      </c>
      <c r="D49" s="235">
        <v>-23.700000762939453</v>
      </c>
      <c r="E49" s="235">
        <v>-83.900001525878906</v>
      </c>
      <c r="F49" s="235">
        <v>-147.69999694824219</v>
      </c>
      <c r="G49" s="180"/>
      <c r="H49" s="180"/>
      <c r="I49" s="180"/>
      <c r="J49" s="180"/>
      <c r="K49" s="180"/>
      <c r="L49" s="180"/>
      <c r="M49" s="180"/>
    </row>
    <row r="50" spans="1:13" x14ac:dyDescent="0.35">
      <c r="A50" s="180" t="s">
        <v>306</v>
      </c>
      <c r="B50" s="180"/>
      <c r="C50" s="180"/>
      <c r="D50" s="180"/>
      <c r="E50" s="180"/>
      <c r="F50" s="180"/>
      <c r="G50" s="180"/>
      <c r="H50" s="180"/>
      <c r="I50" s="180"/>
      <c r="J50" s="180"/>
      <c r="K50" s="180"/>
      <c r="L50" s="180"/>
      <c r="M50" s="180"/>
    </row>
    <row r="51" spans="1:13" x14ac:dyDescent="0.35">
      <c r="B51" s="237"/>
      <c r="C51" s="237"/>
      <c r="D51" s="237"/>
      <c r="E51" s="237"/>
      <c r="F51" s="237"/>
      <c r="G51" s="237"/>
      <c r="H51" s="237"/>
      <c r="I51" s="237"/>
      <c r="J51" s="180"/>
      <c r="K51" s="180"/>
      <c r="L51" s="180"/>
      <c r="M51" s="180"/>
    </row>
    <row r="52" spans="1:13" x14ac:dyDescent="0.35">
      <c r="A52" s="182" t="s">
        <v>386</v>
      </c>
      <c r="B52" s="236" t="s">
        <v>385</v>
      </c>
      <c r="C52" s="236"/>
      <c r="D52" s="236"/>
      <c r="E52" s="236"/>
      <c r="F52" s="236"/>
      <c r="G52" s="236"/>
      <c r="H52" s="236"/>
      <c r="I52" s="236"/>
      <c r="J52" s="180"/>
      <c r="K52" s="180"/>
      <c r="L52" s="180"/>
      <c r="M52" s="180"/>
    </row>
    <row r="53" spans="1:13" x14ac:dyDescent="0.35">
      <c r="B53" s="180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</row>
    <row r="54" spans="1:13" x14ac:dyDescent="0.35">
      <c r="A54" s="220" t="s">
        <v>369</v>
      </c>
      <c r="I54" s="180"/>
      <c r="J54" s="180"/>
      <c r="K54" s="180"/>
      <c r="L54" s="180"/>
      <c r="M54" s="180"/>
    </row>
    <row r="55" spans="1:13" x14ac:dyDescent="0.35">
      <c r="A55" s="221" t="s">
        <v>370</v>
      </c>
      <c r="B55" s="358" t="s">
        <v>371</v>
      </c>
      <c r="C55" s="358"/>
      <c r="D55" s="358"/>
      <c r="E55" s="358"/>
      <c r="F55" s="358"/>
      <c r="G55" s="358"/>
      <c r="H55" s="358"/>
      <c r="I55" s="180"/>
      <c r="J55" s="180"/>
      <c r="K55" s="180"/>
      <c r="L55" s="180"/>
      <c r="M55" s="180"/>
    </row>
    <row r="56" spans="1:13" x14ac:dyDescent="0.35">
      <c r="A56" s="221" t="s">
        <v>372</v>
      </c>
      <c r="B56" s="358" t="s">
        <v>373</v>
      </c>
      <c r="C56" s="358"/>
      <c r="D56" s="358"/>
      <c r="E56" s="358"/>
      <c r="F56" s="358"/>
      <c r="G56" s="358"/>
      <c r="H56" s="358"/>
      <c r="I56" s="180"/>
      <c r="J56" s="180"/>
      <c r="K56" s="180"/>
      <c r="L56" s="180"/>
      <c r="M56" s="180"/>
    </row>
    <row r="57" spans="1:13" x14ac:dyDescent="0.35">
      <c r="A57" s="221" t="s">
        <v>374</v>
      </c>
      <c r="B57" s="358" t="s">
        <v>375</v>
      </c>
      <c r="C57" s="358"/>
      <c r="D57" s="358"/>
      <c r="E57" s="358"/>
      <c r="F57" s="358"/>
      <c r="G57" s="358"/>
      <c r="H57" s="358"/>
      <c r="J57" s="180"/>
      <c r="K57" s="180"/>
      <c r="L57" s="180"/>
      <c r="M57" s="180"/>
    </row>
    <row r="58" spans="1:13" x14ac:dyDescent="0.35">
      <c r="A58" s="221" t="s">
        <v>376</v>
      </c>
      <c r="B58" s="358" t="s">
        <v>313</v>
      </c>
      <c r="C58" s="358"/>
      <c r="D58" s="358"/>
      <c r="E58" s="358"/>
      <c r="F58" s="358"/>
      <c r="G58" s="358"/>
      <c r="H58" s="358"/>
      <c r="I58" s="180"/>
      <c r="J58" s="180"/>
      <c r="K58" s="180"/>
      <c r="L58" s="180"/>
      <c r="M58" s="180"/>
    </row>
    <row r="59" spans="1:13" x14ac:dyDescent="0.35">
      <c r="A59" s="221" t="s">
        <v>377</v>
      </c>
      <c r="B59" s="358" t="s">
        <v>378</v>
      </c>
      <c r="C59" s="358"/>
      <c r="D59" s="358"/>
      <c r="E59" s="358"/>
      <c r="F59" s="358"/>
      <c r="G59" s="358"/>
      <c r="H59" s="358"/>
      <c r="I59" s="180"/>
      <c r="J59" s="180"/>
      <c r="K59" s="180"/>
      <c r="L59" s="180"/>
      <c r="M59" s="180"/>
    </row>
    <row r="60" spans="1:13" x14ac:dyDescent="0.35">
      <c r="A60" s="221" t="s">
        <v>379</v>
      </c>
      <c r="B60" s="358">
        <v>2023</v>
      </c>
      <c r="C60" s="358"/>
      <c r="D60" s="358"/>
      <c r="E60" s="358"/>
      <c r="F60" s="358"/>
      <c r="G60" s="358"/>
      <c r="H60" s="358"/>
      <c r="I60" s="180"/>
      <c r="J60" s="180"/>
      <c r="K60" s="180"/>
      <c r="L60" s="180"/>
      <c r="M60" s="180"/>
    </row>
    <row r="61" spans="1:13" x14ac:dyDescent="0.35">
      <c r="A61" s="221" t="s">
        <v>380</v>
      </c>
      <c r="B61" s="358" t="s">
        <v>381</v>
      </c>
      <c r="C61" s="358"/>
      <c r="D61" s="358"/>
      <c r="E61" s="358"/>
      <c r="F61" s="358"/>
      <c r="G61" s="358"/>
      <c r="H61" s="358"/>
      <c r="I61" s="180"/>
      <c r="J61" s="237"/>
      <c r="K61" s="237"/>
      <c r="L61" s="237"/>
      <c r="M61" s="237"/>
    </row>
    <row r="62" spans="1:13" x14ac:dyDescent="0.35">
      <c r="J62" s="237"/>
      <c r="K62" s="237"/>
      <c r="L62" s="237"/>
      <c r="M62" s="237"/>
    </row>
    <row r="63" spans="1:13" x14ac:dyDescent="0.35">
      <c r="A63" s="217" t="s">
        <v>382</v>
      </c>
      <c r="B63" s="180"/>
      <c r="C63" s="180"/>
      <c r="D63" s="180"/>
      <c r="E63" s="180"/>
      <c r="F63" s="180"/>
      <c r="G63" s="180"/>
      <c r="H63" s="180"/>
      <c r="I63" s="180"/>
      <c r="J63" s="237"/>
      <c r="K63" s="237"/>
      <c r="L63" s="237"/>
      <c r="M63" s="237"/>
    </row>
    <row r="64" spans="1:13" ht="63.5" x14ac:dyDescent="0.35">
      <c r="A64" s="223" t="s">
        <v>383</v>
      </c>
      <c r="B64" s="180"/>
      <c r="C64" s="180"/>
      <c r="D64" s="180"/>
      <c r="E64" s="180"/>
      <c r="F64" s="180"/>
      <c r="G64" s="180"/>
      <c r="H64" s="180"/>
      <c r="I64" s="180"/>
      <c r="J64" s="237"/>
      <c r="K64" s="237"/>
      <c r="L64" s="237"/>
      <c r="M64" s="237"/>
    </row>
    <row r="65" spans="10:13" x14ac:dyDescent="0.35">
      <c r="J65" s="237"/>
      <c r="K65" s="237"/>
      <c r="L65" s="237"/>
      <c r="M65" s="237"/>
    </row>
    <row r="66" spans="10:13" x14ac:dyDescent="0.35">
      <c r="J66" s="237"/>
      <c r="K66" s="237"/>
      <c r="L66" s="237"/>
      <c r="M66" s="237"/>
    </row>
    <row r="67" spans="10:13" x14ac:dyDescent="0.35">
      <c r="J67" s="237"/>
      <c r="K67" s="237"/>
      <c r="L67" s="237"/>
      <c r="M67" s="237"/>
    </row>
    <row r="68" spans="10:13" x14ac:dyDescent="0.35">
      <c r="J68" s="237"/>
      <c r="K68" s="237"/>
      <c r="L68" s="237"/>
      <c r="M68" s="237"/>
    </row>
    <row r="69" spans="10:13" x14ac:dyDescent="0.35">
      <c r="J69" s="180"/>
      <c r="K69" s="180"/>
      <c r="L69" s="180"/>
      <c r="M69" s="180"/>
    </row>
    <row r="70" spans="10:13" x14ac:dyDescent="0.35">
      <c r="J70" s="180"/>
      <c r="K70" s="180"/>
      <c r="L70" s="180"/>
      <c r="M70" s="180"/>
    </row>
  </sheetData>
  <mergeCells count="11">
    <mergeCell ref="B61:H61"/>
    <mergeCell ref="A1:G1"/>
    <mergeCell ref="B55:H55"/>
    <mergeCell ref="B56:H56"/>
    <mergeCell ref="B57:H57"/>
    <mergeCell ref="B58:H58"/>
    <mergeCell ref="B59:H59"/>
    <mergeCell ref="B11:G11"/>
    <mergeCell ref="B35:F35"/>
    <mergeCell ref="B60:H60"/>
    <mergeCell ref="B39:F39"/>
  </mergeCells>
  <pageMargins left="0.38" right="0.25" top="0.75" bottom="0.75" header="0.3" footer="0.3"/>
  <pageSetup scale="63" orientation="portrait" r:id="rId1"/>
  <headerFooter>
    <oddFooter>&amp;LPrepared by: Miraj Sangani&amp;CNAICS$&amp;R&amp;P</oddFooter>
  </headerFooter>
</worksheet>
</file>

<file path=docMetadata/LabelInfo.xml><?xml version="1.0" encoding="utf-8"?>
<clbl:labelList xmlns:clbl="http://schemas.microsoft.com/office/2020/mipLabelMetadata">
  <clbl:label id="{4ddd393a-e98a-4404-841f-c4becdd925a5}" enabled="0" method="" siteId="{4ddd393a-e98a-4404-841f-c4becdd925a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Cover</vt:lpstr>
      <vt:lpstr>CFF</vt:lpstr>
      <vt:lpstr>IS</vt:lpstr>
      <vt:lpstr>BS</vt:lpstr>
      <vt:lpstr>Startup</vt:lpstr>
      <vt:lpstr>Sales+Inv+Cost</vt:lpstr>
      <vt:lpstr>Assets</vt:lpstr>
      <vt:lpstr>HR Exp</vt:lpstr>
      <vt:lpstr>Financing</vt:lpstr>
      <vt:lpstr>Other Exp</vt:lpstr>
      <vt:lpstr>NAICS%</vt:lpstr>
      <vt:lpstr>NAICS$</vt:lpstr>
      <vt:lpstr>Assets!Print_Area</vt:lpstr>
      <vt:lpstr>BS!Print_Area</vt:lpstr>
      <vt:lpstr>CFF!Print_Area</vt:lpstr>
      <vt:lpstr>Cover!Print_Area</vt:lpstr>
      <vt:lpstr>Financing!Print_Area</vt:lpstr>
      <vt:lpstr>'HR Exp'!Print_Area</vt:lpstr>
      <vt:lpstr>IS!Print_Area</vt:lpstr>
      <vt:lpstr>'NAICS$'!Print_Area</vt:lpstr>
      <vt:lpstr>'NAICS%'!Print_Area</vt:lpstr>
      <vt:lpstr>'Other Exp'!Print_Area</vt:lpstr>
      <vt:lpstr>'Sales+Inv+Cost'!Print_Area</vt:lpstr>
      <vt:lpstr>Startup!Print_Area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Miraj Kiritkumar Sangani</dc:creator>
  <cp:lastModifiedBy>Miraj Kiritkumar Sangani</cp:lastModifiedBy>
  <cp:lastPrinted>2024-11-30T23:04:27Z</cp:lastPrinted>
  <dcterms:created xsi:type="dcterms:W3CDTF">2024-09-23T13:19:49Z</dcterms:created>
  <dcterms:modified xsi:type="dcterms:W3CDTF">2024-11-30T23:04:52Z</dcterms:modified>
</cp:coreProperties>
</file>